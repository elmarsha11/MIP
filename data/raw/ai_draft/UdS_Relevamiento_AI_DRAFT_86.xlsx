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triz" sheetId="1" r:id="rId5"/>
    <sheet state="visible" name="Análisis y Viabilidad" sheetId="2" r:id="rId6"/>
    <sheet state="visible" name="Dashboard y Resumen Secciones" sheetId="3" r:id="rId7"/>
    <sheet state="visible" name="5 Años (86 Munis)" sheetId="4" r:id="rId8"/>
    <sheet state="visible" name="Métricas de Impacto Módulos" sheetId="5" r:id="rId9"/>
  </sheets>
  <definedNames/>
  <calcPr/>
</workbook>
</file>

<file path=xl/sharedStrings.xml><?xml version="1.0" encoding="utf-8"?>
<sst xmlns="http://schemas.openxmlformats.org/spreadsheetml/2006/main" count="1158" uniqueCount="664">
  <si>
    <t>Análisis Comparativo y Dictamen de Viabilidad: Reingeniería y Modernización Municipal (PBA)</t>
  </si>
  <si>
    <t>Eje Funcional</t>
  </si>
  <si>
    <t>Estadísticas, Proyecciones e Impacto Digital 5 Años - Municipios PBA</t>
  </si>
  <si>
    <t>ID_Municipio</t>
  </si>
  <si>
    <t>Diagnóstico / Propuesta del Proyecto</t>
  </si>
  <si>
    <t>Realidad Relevada en los 88 Municipios (PBA)</t>
  </si>
  <si>
    <t>Brecha de Oportunidad para la Empresa</t>
  </si>
  <si>
    <t>Gestión Financiera y Recaudación</t>
  </si>
  <si>
    <t>Población Total Cobertura</t>
  </si>
  <si>
    <t>Municipio</t>
  </si>
  <si>
    <t>Sección Electoral</t>
  </si>
  <si>
    <t>Pobl. Aprox</t>
  </si>
  <si>
    <t>Tensión por dependencia de coparticipación; propone migración a RAFAM 2 (Dec. 1555/22), Créditos Fiscales y fin del bloqueo impositivo de trámites.</t>
  </si>
  <si>
    <t>Portal y Transparencia</t>
  </si>
  <si>
    <t>Impacto Financiero Total Proyectado Año 5</t>
  </si>
  <si>
    <t>Turnos Digitales</t>
  </si>
  <si>
    <t>Madurez Promedio Actual</t>
  </si>
  <si>
    <t>Madurez Proyectada Año 5</t>
  </si>
  <si>
    <t>Cobro Electrónico de Tasas</t>
  </si>
  <si>
    <t>Expediente Digital (GDE)</t>
  </si>
  <si>
    <t>Reclamos Urbanos (147 / App)</t>
  </si>
  <si>
    <t>Sistema RAFAM</t>
  </si>
  <si>
    <t>100% usan RAFAM, pero la mayoría tiene módulos dispersos. El cobro electrónico de tasas está resuelto, pero la integración contable en tiempo real es parcial.</t>
  </si>
  <si>
    <t>Ventanilla Única / Trámites</t>
  </si>
  <si>
    <t>Alta: Ofrecer la capa web/SaaS de autogestión tributaria integrada al RAFAM sin tocar el núcleo contable.</t>
  </si>
  <si>
    <t>Población Aprox.</t>
  </si>
  <si>
    <t>Sitio Web / Fuente</t>
  </si>
  <si>
    <t>Salud (SAMO y HCU)</t>
  </si>
  <si>
    <t>Estado Actual (Año 0 %)</t>
  </si>
  <si>
    <t>Año 1 %</t>
  </si>
  <si>
    <t>Subfacturación a obras sociales y pérdida de ingresos. Propone Historia Clínica Electrónica y recupero automático vía SAMO.</t>
  </si>
  <si>
    <t>Año 2 %</t>
  </si>
  <si>
    <t>Año 3 %</t>
  </si>
  <si>
    <t>MUN-BA-004</t>
  </si>
  <si>
    <t>El recupero SAMO es deficiente en municipios pequeños/rurales. Solo distritos medianos o turísticos (Castelli, Chascomús, Pinamar) tienen turneros/HCU activos.</t>
  </si>
  <si>
    <t>Año 4 %</t>
  </si>
  <si>
    <t>Muy Alta (Quick Win): El módulo SAMO genera un retorno financiero inmediato al municipio, autofinanciando el software.</t>
  </si>
  <si>
    <t>Producción y Campo (DUT)</t>
  </si>
  <si>
    <t>Año 5 %</t>
  </si>
  <si>
    <t>Navarro</t>
  </si>
  <si>
    <t>Trámites ganaderos presenciales (Marcas y Señales). Propone Documento Único de Tránsito (DUT) 24/7/365 vía AFIP/SENASA.</t>
  </si>
  <si>
    <t>Brecha de Impacto %</t>
  </si>
  <si>
    <t>En las Secciones 4ª, 5ª y 6ª, el trámite presencial rural sigue siendo un cuello de botella, aunque la adhesión al DUT viene creciendo.</t>
  </si>
  <si>
    <t>Impacto Financiero Anual Proyectado ($ M ARS)</t>
  </si>
  <si>
    <t>Alta: La autogestión del DUT elimina fricciones con el sector agropecuario, principal actor económico local.</t>
  </si>
  <si>
    <t>Expediente Digital y Trámites</t>
  </si>
  <si>
    <t>MUN-BA-001</t>
  </si>
  <si>
    <t>Despapelización completa (GDE), Habilitación Comercial Express en 48hs y principio de "Sola Una Vez".</t>
  </si>
  <si>
    <t>Sección</t>
  </si>
  <si>
    <t>La mayoría solo cuenta con SIBOM (Boletín Oficial). Menos del 15% (ej. Patagones, Saladillo, Chascomús) posee GDE municipal o habilitación express.</t>
  </si>
  <si>
    <t>Cant. Municipios</t>
  </si>
  <si>
    <t>Chascomús</t>
  </si>
  <si>
    <t>Muy Alta: Existe un vacío casi total en expediente digital interno y habilitaciones comerciales rápidas en comunas &lt;70k hab.</t>
  </si>
  <si>
    <t>Población Total</t>
  </si>
  <si>
    <t>Quinta</t>
  </si>
  <si>
    <t>Atención Vecinal y Reclamos</t>
  </si>
  <si>
    <t>Madurez Actual (Año 0)</t>
  </si>
  <si>
    <t>CRM Urbano con mapeo GIS, línea 147 y seguimiento de cuadrillas operativas en territorio.</t>
  </si>
  <si>
    <t>Año 1</t>
  </si>
  <si>
    <t>Solo un ~25-30% (Chivilcoy, Trenque Lauquen, Pinamar, Villa Gesell, Chacabuco) dispone de línea 147 o Apps de reclamos funcionales.</t>
  </si>
  <si>
    <t>Año 2</t>
  </si>
  <si>
    <t>Alta: Alta demanda política de los intendentes para mostrar respuesta rápida al vecino.</t>
  </si>
  <si>
    <t>Año 3</t>
  </si>
  <si>
    <t>Año 4</t>
  </si>
  <si>
    <t>Año 5</t>
  </si>
  <si>
    <t>Primera</t>
  </si>
  <si>
    <t>DICTAMEN DE VIABILIDAD: ¿ES VIABLE ENCARAR ESTE PROYECTO?</t>
  </si>
  <si>
    <t>Brecha de Impacto</t>
  </si>
  <si>
    <t>Impacto Financiero Anual Año 5 ($ M ARS)</t>
  </si>
  <si>
    <t>Dictamen: SÍ, ES ALTAMENTE VIABLE, sujeto a un modelo de comercialización e implementación adecuado.</t>
  </si>
  <si>
    <t>Implementado (noticias/licitaciones)</t>
  </si>
  <si>
    <t>Razones que justifican la viabilidad:</t>
  </si>
  <si>
    <t>1. Brecha de Mercado Confirmada: El relevamiento demuestra que, si bien la mayoría de los municipios resolvió lo básico (página web informativa y cobro electrónico de tasas), la gestión interna sigue paralizada en papel (falta de GDE, SAMO deficiente, falta de CRM urbano y habilitaciones lentas).</t>
  </si>
  <si>
    <t>Licencias y App Mi Navarro</t>
  </si>
  <si>
    <t>2. Propuesta de Valor Autofinanciable: Módulos como la optimización del recupero SAMO en salud o el incremento en la cobrabilidad de tasas generan ingresos adicionales para el municipio. Esto permite vender el software bajo el argumento de que "se paga solo con la nueva recaudación/recupero".</t>
  </si>
  <si>
    <t>App Mi Navarro / En desarrollo</t>
  </si>
  <si>
    <t>3. Calce Normativo y Presupuestario: Al estructurar la oferta como un software SaaS empaquetado (Bronce / Plata / Oro) bajo los montos de contratación directa autorizados por el Tribunal de Cuentas y la Ley Orgánica de las Municipalidades, el intendente puede contratar el servicio mediante decreto o resolución express sin requerir licitaciones complejas.</t>
  </si>
  <si>
    <t>Parcial (tickets)</t>
  </si>
  <si>
    <t>App Mi Navarro / Web</t>
  </si>
  <si>
    <t>4. Canal Político Institucional: La articulación con espacios de red intermunicipal (como el Foro Regional de Intendentes - FRICDe) facilita el acceso directo a los tomadores de decisión (Intendentes y Secretarios de Hacienda/Gobierno).</t>
  </si>
  <si>
    <t>Operativo</t>
  </si>
  <si>
    <t>Semipresencial</t>
  </si>
  <si>
    <t>NO TIENE FUENTE - Redes Sociales (IG - FB)</t>
  </si>
  <si>
    <t>RIESGOS Y PUNTOS CRÍTICOS A MITIGAR</t>
  </si>
  <si>
    <t>- Evitar la "Trampa del Desarrollo a Medida": Cada municipio solicitará adaptar el sistema a sus particularidades. Para mantener la rentabilidad, la empresa debe ofrecer módulos SaaS estandarizados y parametrizables, evitando código a pedido.</t>
  </si>
  <si>
    <t>MUN-BA-005</t>
  </si>
  <si>
    <t>Suipacha</t>
  </si>
  <si>
    <t>- Capacidad Técnica Local Reducida: El personal municipal en distritos pequeños suele tener baja alfabetización digital. Las soluciones deben ser de interfaz sumamente simple (WhatsApp Bots, formularios intuitivos) y contar con acompañamiento en la gestión del cambio.</t>
  </si>
  <si>
    <t>MUN-BA-002</t>
  </si>
  <si>
    <t>- Inviolabilidad del RAFAM: Ningún municipio cambiará su sistema contable RAFAM. Todo módulo desarrollado (tasas, compras, salud) debe funcionar como una capa satélite interoperable vía API que dialogue con el RAFAM sin reemplazarlo.</t>
  </si>
  <si>
    <t>Rauch</t>
  </si>
  <si>
    <t>Implementado (Transparencia / SIBOM)</t>
  </si>
  <si>
    <t>HOJA DE RUTA SUGERIDA PARA EL DESEMBARCO COMERCIAL</t>
  </si>
  <si>
    <t>Web Licencias</t>
  </si>
  <si>
    <t>Portal Autogestión</t>
  </si>
  <si>
    <t>1. Fase 1 – Puerta de Entrada (Quick Wins de Alto Impacto Político y Financiero):
- Módulo SAMO (Salud): Demostrar un incremento en la facturación a obras sociales/prepagas.
- Módulo DUT (Ganadería): Ofrecer la solución 24/7 al sector rural.
- Turnero / Chatbot de Reclamos (147): Dar visibilidad inmediata al intendente.</t>
  </si>
  <si>
    <t>Parcial</t>
  </si>
  <si>
    <t>2. Fase 2 – Eficiencia Administrativa (Paquete Plata):
- Habilitación Comercial Express en 48hs bajo declaración jurada.
- Portal Unificado de Autogestión del Contribuyente.</t>
  </si>
  <si>
    <t>Segunda</t>
  </si>
  <si>
    <t>Formulario Web</t>
  </si>
  <si>
    <t>3. Fase 3 – Transformación Profunda (Paquete Oro):
- Expediente Digital (GDE municipal) y migración de flujos internos a la nube.</t>
  </si>
  <si>
    <t>RESUMEN EJECUTIVO POR SECCIÓN ELECTORAL</t>
  </si>
  <si>
    <t>Municipalidad de Suipacha</t>
  </si>
  <si>
    <t>- Primera Sección Electoral: Navarro, Suipacha, General Las Heras. Cobertura del 100% en RAFAM. Módulos de tasas integrados.</t>
  </si>
  <si>
    <t>- Segunda Sección Electoral: Salto, Baradero, Exaltación de la Cruz, Ramallo, Arrecifes, Colón, San Antonio de Areco, Rojas, San Andrés de Giles, Carmen de Areco, Capitán Sarmiento. Destacan Rojas, Carmen de Areco y San Andrés de Giles en transparencia. Capitán Sarmiento con desregulación.</t>
  </si>
  <si>
    <t>- Tercera Sección Electoral (Interior): Magdalena, Lobos, Brandsen, Punta Indio. Módulos de reclamos en Lobos y Punta Indio. 100% RAFAM.</t>
  </si>
  <si>
    <t>MUN-BA-003</t>
  </si>
  <si>
    <t>Tercera</t>
  </si>
  <si>
    <t>- Cuarta Sección Electoral: Chivilcoy, Chacabuco, 9 de Julio, Trenque Lauquen, Bragado, Pehuajó, Lincoln, General Villegas, General Viamonte, Carlos Casares, Rivadavia, General Arenales, L. N. Alem, Carlos Tejedor, Alberti, General Pinto, Hipólito Yrigoyen, F. Ameghino. Mayor densidad digital (Chivilcoy, Trenque Lauquen, Bragado, Rivadavia). Agencia ARVI en Viamonte.</t>
  </si>
  <si>
    <t>Magdalena</t>
  </si>
  <si>
    <t>- Quinta Sección Electoral: Chascomús, Rauch, Balcarce, General Alvarado, Pinamar, Villa Gesell, Mar Chiquita, Dolores, Las Flores, San Miguel del Monte, General Madariaga, Ayacucho, General Belgrano, Lobería, General Paz, Maipú, Castelli, San Cayetano, Lezama, General Lavalle, Pila, General Guido, Tordillo. Líderes en transparencia (San Cayetano, Madariaga, Chascomús). Pinamar, Chascomús, Castelli y Villa Gesell con omnicanalidad y 147.</t>
  </si>
  <si>
    <t>- Sexta Sección Electoral: Coronel Rosales, Tres Arroyos, Coronel Suárez, Patagones, Villarino, Coronel Pringles, Benito Juárez, Saavedra, Adolfo Alsina, Daireaux, Puán, Coronel Dorrego, Tornquist, Gonzales Chaves, Guaminí, General La Madrid, Laprida, Salliqueló, Tres Lomas, Monte Hermoso, Pellegrini. GDE en Patagones. SIGMUW y MH App en Monte Hermoso.</t>
  </si>
  <si>
    <t>- Séptima Sección Electoral: Bolívar, Saladillo, Veinticinco de Mayo, Roque Pérez, General Alvear, Tapalqué. MUNI BOT 25 en Veinticinco de Mayo. GDE Saladillo.</t>
  </si>
  <si>
    <t>Cuarta</t>
  </si>
  <si>
    <t>MUN-BA-006</t>
  </si>
  <si>
    <t>General Las Heras</t>
  </si>
  <si>
    <t>Sexta</t>
  </si>
  <si>
    <t>Implementado (Balances Tesorería)</t>
  </si>
  <si>
    <t>Licencias y Salud</t>
  </si>
  <si>
    <t>Suite RAFAM Tasas Web</t>
  </si>
  <si>
    <t>Canal Web</t>
  </si>
  <si>
    <t>Municipalidad de General Las Heras</t>
  </si>
  <si>
    <t>Séptima</t>
  </si>
  <si>
    <t>TOTAL GENERAL</t>
  </si>
  <si>
    <t>MUN-BA-007</t>
  </si>
  <si>
    <t>Salto</t>
  </si>
  <si>
    <t>Activo</t>
  </si>
  <si>
    <t>Módulo Web</t>
  </si>
  <si>
    <t>MUN-BA-008</t>
  </si>
  <si>
    <t>Baradero</t>
  </si>
  <si>
    <t>Implementado</t>
  </si>
  <si>
    <t>En desarrollo</t>
  </si>
  <si>
    <t>Municipalidad de Salto</t>
  </si>
  <si>
    <t>MUN-BA-009</t>
  </si>
  <si>
    <t>Exaltación de la Cruz</t>
  </si>
  <si>
    <t>Activo (Gobierno Abierto)</t>
  </si>
  <si>
    <t>Botón Pago Virtual</t>
  </si>
  <si>
    <t>CAV</t>
  </si>
  <si>
    <t>MUN-BA-010</t>
  </si>
  <si>
    <t>Ramallo</t>
  </si>
  <si>
    <t>Gobierno Abierto</t>
  </si>
  <si>
    <t>MUN-BA-011</t>
  </si>
  <si>
    <t>Arrecifes</t>
  </si>
  <si>
    <t>Activo (Cuentas Claras)</t>
  </si>
  <si>
    <t>Activo (Bot)</t>
  </si>
  <si>
    <t>Mis Deudas (Pago PIN)</t>
  </si>
  <si>
    <t>MUN-BA-012</t>
  </si>
  <si>
    <t>Bot interactivo</t>
  </si>
  <si>
    <t>Colón</t>
  </si>
  <si>
    <t>Guía unificada</t>
  </si>
  <si>
    <t>MUN-BA-013</t>
  </si>
  <si>
    <t>San Antonio de Areco</t>
  </si>
  <si>
    <t>Activo (Licencias/Habilitaciones)</t>
  </si>
  <si>
    <t>MUN-BA-014</t>
  </si>
  <si>
    <t>Rojas</t>
  </si>
  <si>
    <t>SIATSEH QR</t>
  </si>
  <si>
    <t>App/Sistema QR</t>
  </si>
  <si>
    <t>MUN-BA-015</t>
  </si>
  <si>
    <t>San Andrés de Giles</t>
  </si>
  <si>
    <t>MUN-BA-016</t>
  </si>
  <si>
    <t>Carmen de Areco</t>
  </si>
  <si>
    <t>Activo (Hospital/Licencias)</t>
  </si>
  <si>
    <t>Factura Única QR</t>
  </si>
  <si>
    <t>MUN-BA-017</t>
  </si>
  <si>
    <t>Capitán Sarmiento</t>
  </si>
  <si>
    <t>Inicial</t>
  </si>
  <si>
    <t>Módulo SaaS</t>
  </si>
  <si>
    <t>Línea 147</t>
  </si>
  <si>
    <t>Función Principal</t>
  </si>
  <si>
    <t>Ahorro/Recupero Estimado hab/año</t>
  </si>
  <si>
    <t>Municipalidad de Arrecifes</t>
  </si>
  <si>
    <t>ROI Proyectado Año 1</t>
  </si>
  <si>
    <t>Tiempo Recupero Inversión</t>
  </si>
  <si>
    <t>1. Recupero SAMO Salud</t>
  </si>
  <si>
    <t>MUN-BA-018</t>
  </si>
  <si>
    <t>Lobos</t>
  </si>
  <si>
    <t>Captura digital y facturación automática a obras sociales</t>
  </si>
  <si>
    <t>3,5 meses</t>
  </si>
  <si>
    <t>2. Cobro Digital de Tasas</t>
  </si>
  <si>
    <t>MUN-BA-019</t>
  </si>
  <si>
    <t>Autogestión tributaria, botón de pago y boleta QR</t>
  </si>
  <si>
    <t>Brandsen</t>
  </si>
  <si>
    <t>4,2 meses</t>
  </si>
  <si>
    <t>3. CRM 147 Urbano</t>
  </si>
  <si>
    <t>Gestión de reclamos, despacho y optimización de cuadrillas</t>
  </si>
  <si>
    <t>6,0 meses</t>
  </si>
  <si>
    <t>4. GDE y Despapelización</t>
  </si>
  <si>
    <t>MUN-BA-020</t>
  </si>
  <si>
    <t>Firma digital, expedientes en la nube e impresiones zero</t>
  </si>
  <si>
    <t>Punta Indio</t>
  </si>
  <si>
    <t>Activo (Autogestión)</t>
  </si>
  <si>
    <t>5,5 meses</t>
  </si>
  <si>
    <t>5. DUT Ganadero 24/7</t>
  </si>
  <si>
    <t>Pago en línea QR</t>
  </si>
  <si>
    <t>Autogestión de guías sin horario municipal ni traslados</t>
  </si>
  <si>
    <t>MUN-BA-021</t>
  </si>
  <si>
    <t>Parcial (Inergram Cloud)</t>
  </si>
  <si>
    <t>Chivilcoy</t>
  </si>
  <si>
    <t>7,0 meses</t>
  </si>
  <si>
    <t>Municipalidad de Colon</t>
  </si>
  <si>
    <t>MUN-BA-022</t>
  </si>
  <si>
    <t>Chacabuco</t>
  </si>
  <si>
    <t>MUN-BA-023</t>
  </si>
  <si>
    <t>9 de Julio</t>
  </si>
  <si>
    <t>MUN-BA-024</t>
  </si>
  <si>
    <t>Activo (Transparencia)</t>
  </si>
  <si>
    <t>Trenque Lauquen</t>
  </si>
  <si>
    <t>Activo (WhatsApp)</t>
  </si>
  <si>
    <t>Mis Tasas / Débito</t>
  </si>
  <si>
    <t>Avanzado (Consulta Expedientes)</t>
  </si>
  <si>
    <t>CAV WhatsApp</t>
  </si>
  <si>
    <t>MUN-BA-025</t>
  </si>
  <si>
    <t>Municipalidad San Antonio de Areco</t>
  </si>
  <si>
    <t>Bragado</t>
  </si>
  <si>
    <t>MUN-BA-042</t>
  </si>
  <si>
    <t>Pinamar</t>
  </si>
  <si>
    <t>Activo (Transparencia 100% ASAP)</t>
  </si>
  <si>
    <t>Red Link / Web</t>
  </si>
  <si>
    <t>MUN-BA-048</t>
  </si>
  <si>
    <t>General Madariaga</t>
  </si>
  <si>
    <t>CAV Web</t>
  </si>
  <si>
    <t>Municipio de Rojas</t>
  </si>
  <si>
    <t>MUN-BA-056</t>
  </si>
  <si>
    <t>San Cayetano</t>
  </si>
  <si>
    <t>MUN-BA-065</t>
  </si>
  <si>
    <t>Patagones</t>
  </si>
  <si>
    <t>Activo (Puntaje Ideal ASAP)</t>
  </si>
  <si>
    <t>Boleta Digital / Pago Web</t>
  </si>
  <si>
    <t>MUN-BA-081</t>
  </si>
  <si>
    <t>Monte Hermoso</t>
  </si>
  <si>
    <t>Recepción Web/Tel</t>
  </si>
  <si>
    <t>Municipalidad de San Andrés de Giles |</t>
  </si>
  <si>
    <t>MUN-BA-084</t>
  </si>
  <si>
    <t>Saladillo</t>
  </si>
  <si>
    <t>MUN-BA-085</t>
  </si>
  <si>
    <t>Veinticinco de Mayo</t>
  </si>
  <si>
    <t>Consulta y Pago Web</t>
  </si>
  <si>
    <t>Centralizado</t>
  </si>
  <si>
    <t>Carmen de Areco - Municipio</t>
  </si>
  <si>
    <t>Activo (Desregulación)</t>
  </si>
  <si>
    <t>Pago Internet Simplificado</t>
  </si>
  <si>
    <t>Avanzado (Agilización digital)</t>
  </si>
  <si>
    <t>Atención directa</t>
  </si>
  <si>
    <t>Ajustado a tasa simplificada</t>
  </si>
  <si>
    <t>Avanzado</t>
  </si>
  <si>
    <t>Salud y Licencias</t>
  </si>
  <si>
    <t>En proceso (SIBOM)</t>
  </si>
  <si>
    <t>Municipalidad de Magdalena</t>
  </si>
  <si>
    <t>Implementado (Gobierno Abierto)</t>
  </si>
  <si>
    <t>Trámites en línea</t>
  </si>
  <si>
    <t>Impresión y Pago</t>
  </si>
  <si>
    <t>En proceso</t>
  </si>
  <si>
    <t>Portal Web</t>
  </si>
  <si>
    <t>Municipalidad de Lobos |</t>
  </si>
  <si>
    <t>Implementado (Gestión Pública)</t>
  </si>
  <si>
    <t>Parcial (WhatsApp)</t>
  </si>
  <si>
    <t>Cuenta DNI / Link</t>
  </si>
  <si>
    <t>Implementado (Boletín Digital)</t>
  </si>
  <si>
    <t>Turnos Salud / Licencias</t>
  </si>
  <si>
    <t>Suite RAFAM Web</t>
  </si>
  <si>
    <t>Municipalidad de Punta Indio</t>
  </si>
  <si>
    <t>Hospital / Licencias</t>
  </si>
  <si>
    <t>Rentas E-Pagos</t>
  </si>
  <si>
    <t>En proceso (Firma Digital)</t>
  </si>
  <si>
    <t>Línea 147 / CAV</t>
  </si>
  <si>
    <t>Integrado</t>
  </si>
  <si>
    <t>Guía Unificada</t>
  </si>
  <si>
    <t>Municipalidad de Chivilcoy</t>
  </si>
  <si>
    <t>Licencias</t>
  </si>
  <si>
    <t>Botón Web / Planes</t>
  </si>
  <si>
    <t>Digitalización progresiva</t>
  </si>
  <si>
    <t>Línea 147 / Web</t>
  </si>
  <si>
    <t>Gobierno de Chacabuco</t>
  </si>
  <si>
    <t>Activo (SIBOM)</t>
  </si>
  <si>
    <t>Licencias / Web</t>
  </si>
  <si>
    <t>Web Tributaria</t>
  </si>
  <si>
    <t>SIBOM / Administrativo</t>
  </si>
  <si>
    <t>CAV Telefónico</t>
  </si>
  <si>
    <t>Ventanilla Digital</t>
  </si>
  <si>
    <t>Municipalidad de 9 de Julio</t>
  </si>
  <si>
    <t>Salud / Centro Cívico</t>
  </si>
  <si>
    <t>Plan de Modernización / Firma</t>
  </si>
  <si>
    <t>CAC Software</t>
  </si>
  <si>
    <t>100% Integrado</t>
  </si>
  <si>
    <t>Centro Cívico</t>
  </si>
  <si>
    <t>Municipalidad de Trenque Lauquen</t>
  </si>
  <si>
    <t>Activo (Transparencia ASAP)</t>
  </si>
  <si>
    <t>Salud / OMIC</t>
  </si>
  <si>
    <t>Débito / CUIT</t>
  </si>
  <si>
    <t>Decretos Digitales</t>
  </si>
  <si>
    <t>Central Reclamos</t>
  </si>
  <si>
    <t>Portal Unificado</t>
  </si>
  <si>
    <t>Municipalidad de Bragado</t>
  </si>
  <si>
    <t>MUN-BA-026</t>
  </si>
  <si>
    <t>Pehuajó</t>
  </si>
  <si>
    <t>Activo (Web Tributaria)</t>
  </si>
  <si>
    <t>Presenciales</t>
  </si>
  <si>
    <t>Suite RAFAM</t>
  </si>
  <si>
    <t>Digitalización Contable</t>
  </si>
  <si>
    <t>Atención presencial</t>
  </si>
  <si>
    <t>Suite V1.0.0</t>
  </si>
  <si>
    <t>Dirección Comercio</t>
  </si>
  <si>
    <t>Pehuajo</t>
  </si>
  <si>
    <t>MUN-BA-027</t>
  </si>
  <si>
    <t>Lincoln</t>
  </si>
  <si>
    <t>Link / PagoMisCuentas</t>
  </si>
  <si>
    <t>Paulatino</t>
  </si>
  <si>
    <t>Atención Telefónica</t>
  </si>
  <si>
    <t>Mesa Entradas</t>
  </si>
  <si>
    <t>Municipalidad de Lincoln |</t>
  </si>
  <si>
    <t>MUN-BA-028</t>
  </si>
  <si>
    <t>General Villegas</t>
  </si>
  <si>
    <t>CAPS / Licencias</t>
  </si>
  <si>
    <t>Autogestión Net Pagos / QR</t>
  </si>
  <si>
    <t>Procesos internos</t>
  </si>
  <si>
    <t>Atención Ciudadana</t>
  </si>
  <si>
    <t>Dirección Rentas</t>
  </si>
  <si>
    <t>Autogestión</t>
  </si>
  <si>
    <t>MUN-BA-029</t>
  </si>
  <si>
    <t>General Viamonte</t>
  </si>
  <si>
    <t>Activo (Transparencia Fiscal)</t>
  </si>
  <si>
    <t>Agencia ARVI</t>
  </si>
  <si>
    <t>ARVI Factura Electrónica</t>
  </si>
  <si>
    <t>Digitalización ARVI</t>
  </si>
  <si>
    <t>Canal ARVI</t>
  </si>
  <si>
    <t>ARVI Agencia</t>
  </si>
  <si>
    <t>Municipalidad de General Viamonte |</t>
  </si>
  <si>
    <t>MUN-BA-030</t>
  </si>
  <si>
    <t>Carlos Casares</t>
  </si>
  <si>
    <t>Licencias / Imágenes</t>
  </si>
  <si>
    <t>Consulta Deuda Bapro</t>
  </si>
  <si>
    <t>Recibos Sueldo Digitales</t>
  </si>
  <si>
    <t>Reclamos Web/Tel</t>
  </si>
  <si>
    <t>Implementado (ASAP)</t>
  </si>
  <si>
    <t>Guía Comercio</t>
  </si>
  <si>
    <t>Municipalidad de Carlos Casares</t>
  </si>
  <si>
    <t>MUN-BA-031</t>
  </si>
  <si>
    <t>Rivadavia</t>
  </si>
  <si>
    <t>Centros Salud</t>
  </si>
  <si>
    <t>Boleta Digital</t>
  </si>
  <si>
    <t>Expediente Electrónico / Firma</t>
  </si>
  <si>
    <t>Reportes Vecinales</t>
  </si>
  <si>
    <t>Portal Trámites</t>
  </si>
  <si>
    <t>https://munirivadavia.gob.ar/</t>
  </si>
  <si>
    <t>MUN-BA-032</t>
  </si>
  <si>
    <t>General Arenales</t>
  </si>
  <si>
    <t>Recibo Sueldo Digital</t>
  </si>
  <si>
    <t>Rentas Web Tributaria</t>
  </si>
  <si>
    <t>Haberes / Decretos</t>
  </si>
  <si>
    <t>Atención WhatsApp</t>
  </si>
  <si>
    <t>Oficina Rentas</t>
  </si>
  <si>
    <t>https://www.generalarenales.gob.ar/</t>
  </si>
  <si>
    <t>MUN-BA-033</t>
  </si>
  <si>
    <t>Leandro N. Alem</t>
  </si>
  <si>
    <t>Trámites / CAPS</t>
  </si>
  <si>
    <t>Factura Electrónica</t>
  </si>
  <si>
    <t>SIBOM</t>
  </si>
  <si>
    <t>Canal Vecinal</t>
  </si>
  <si>
    <t>Compras / Rentas</t>
  </si>
  <si>
    <t>https://municipioalem.gob.ar/</t>
  </si>
  <si>
    <t>MUN-BA-034</t>
  </si>
  <si>
    <t>Carlos Tejedor</t>
  </si>
  <si>
    <t>Recaudación</t>
  </si>
  <si>
    <t>Red Vial / Servicios Web</t>
  </si>
  <si>
    <t>Decretos / Recibos</t>
  </si>
  <si>
    <t>Servicios Públicos</t>
  </si>
  <si>
    <t>https://carlostejedor.gob.ar/</t>
  </si>
  <si>
    <t>MUN-BA-035</t>
  </si>
  <si>
    <t>Alberti</t>
  </si>
  <si>
    <t>Licencias / Salud</t>
  </si>
  <si>
    <t>Rentas Cuenta DNI</t>
  </si>
  <si>
    <t>Palacio Municipal</t>
  </si>
  <si>
    <t>https://alberti.gov.ar/</t>
  </si>
  <si>
    <t>MUN-BA-036</t>
  </si>
  <si>
    <t>General Pinto</t>
  </si>
  <si>
    <t>Trámites Admin</t>
  </si>
  <si>
    <t>Licitaciones Digitales</t>
  </si>
  <si>
    <t>Centro Consultas</t>
  </si>
  <si>
    <t>Suite Tasas Web</t>
  </si>
  <si>
    <t>https://www.pinto.gob.ar/</t>
  </si>
  <si>
    <t>MUN-BA-037</t>
  </si>
  <si>
    <t>Hipólito Yrigoyen</t>
  </si>
  <si>
    <t>Consulta Inmueble/Patente</t>
  </si>
  <si>
    <t>Ingresos Públicos</t>
  </si>
  <si>
    <t>https://www.hipolitoyrigoyen.gob.ar/</t>
  </si>
  <si>
    <t>MUN-BA-038</t>
  </si>
  <si>
    <t>Florentino Ameghino</t>
  </si>
  <si>
    <t>Activo (Reconocimiento ASAP)</t>
  </si>
  <si>
    <t>Líneas Municipales</t>
  </si>
  <si>
    <t>Cobro Digital / Transferencia</t>
  </si>
  <si>
    <t>Expediente Compras</t>
  </si>
  <si>
    <t>Delegaciones</t>
  </si>
  <si>
    <t>https://www.gba.gob.ar/economia/consulta_florentino_ameghino</t>
  </si>
  <si>
    <t>Avanzado (Gobierno Abierto / ASAP)</t>
  </si>
  <si>
    <t>Turnos Web / 147</t>
  </si>
  <si>
    <t>Pago Online / Boleta QR</t>
  </si>
  <si>
    <t>Plataforma 147</t>
  </si>
  <si>
    <t>Sí</t>
  </si>
  <si>
    <t>https://chascomus.gob.ar/</t>
  </si>
  <si>
    <t>Medio</t>
  </si>
  <si>
    <t>Básico</t>
  </si>
  <si>
    <t>UDIP Cupón Digital</t>
  </si>
  <si>
    <t>Parcial (UDIP)</t>
  </si>
  <si>
    <t>http://www.rauch.mun.gba.gov.ar/web/</t>
  </si>
  <si>
    <t>MUN-BA-039</t>
  </si>
  <si>
    <t>Balcarce</t>
  </si>
  <si>
    <t>Medio-Alto</t>
  </si>
  <si>
    <t>Botón Pago Web</t>
  </si>
  <si>
    <t>En proceso (Firma)</t>
  </si>
  <si>
    <t>https://balcarce.gob.ar/</t>
  </si>
  <si>
    <t>MUN-BA-040</t>
  </si>
  <si>
    <t>General Alvarado</t>
  </si>
  <si>
    <t>Consultas Tributarias Web</t>
  </si>
  <si>
    <t>Telefónico</t>
  </si>
  <si>
    <t>https://mga.gov.ar/</t>
  </si>
  <si>
    <t>MUN-BA-041</t>
  </si>
  <si>
    <t>Avanzado (Datos Abiertos)</t>
  </si>
  <si>
    <t>Turnos Médicos / Comercio</t>
  </si>
  <si>
    <t>Factura 100% Electrónica</t>
  </si>
  <si>
    <t>Avanzado (Firmas)</t>
  </si>
  <si>
    <t>Línea 147 / Ojos Alerta</t>
  </si>
  <si>
    <t>https://pinamar.gob.ar/</t>
  </si>
  <si>
    <t>Villa Gesell</t>
  </si>
  <si>
    <t>Portal Contribuyente Online</t>
  </si>
  <si>
    <t>App Reclamos VG</t>
  </si>
  <si>
    <t>https://www.gesell.gob.ar/</t>
  </si>
  <si>
    <t>MUN-BA-043</t>
  </si>
  <si>
    <t>Mar Chiquita</t>
  </si>
  <si>
    <t>Oficina Virtual</t>
  </si>
  <si>
    <t>Cuponera y Pago Online</t>
  </si>
  <si>
    <t>https://www.marchiquita.gob.ar/</t>
  </si>
  <si>
    <t>MUN-BA-044</t>
  </si>
  <si>
    <t>Dolores</t>
  </si>
  <si>
    <t>Medio-Alto (SIBOM)</t>
  </si>
  <si>
    <t>Consulta Tributaria Web</t>
  </si>
  <si>
    <t>Atención Reclamos</t>
  </si>
  <si>
    <t>https://dolores.gob.ar/</t>
  </si>
  <si>
    <t>MUN-BA-045</t>
  </si>
  <si>
    <t>Las Flores</t>
  </si>
  <si>
    <t>https://lasflores.gob.ar/</t>
  </si>
  <si>
    <t>MUN-BA-046</t>
  </si>
  <si>
    <t>San Miguel del Monte</t>
  </si>
  <si>
    <t>Boleta Digital / Redes</t>
  </si>
  <si>
    <t>Presencial/Tel</t>
  </si>
  <si>
    <t>MUN-BA-047</t>
  </si>
  <si>
    <t>Avanzado (Líder Transparencia)</t>
  </si>
  <si>
    <t>Suite RAFAM Online/QR</t>
  </si>
  <si>
    <t>Plataforma Reclamos</t>
  </si>
  <si>
    <t>Municipalidad de General Madariaga</t>
  </si>
  <si>
    <t>Ayacucho</t>
  </si>
  <si>
    <t>Avanzado (Transparencia)</t>
  </si>
  <si>
    <t>Boleta Digital y Pago</t>
  </si>
  <si>
    <t>Municipalidad de Ayacucho |</t>
  </si>
  <si>
    <t>MUN-BA-049</t>
  </si>
  <si>
    <t>General Belgrano</t>
  </si>
  <si>
    <t>Consulta Deuda y Pago</t>
  </si>
  <si>
    <t>Municipalidad de General Belgrano</t>
  </si>
  <si>
    <t>MUN-BA-050</t>
  </si>
  <si>
    <t>Lobería</t>
  </si>
  <si>
    <t>Licencias / Trámites</t>
  </si>
  <si>
    <t>Rentas y Pago Web</t>
  </si>
  <si>
    <t>Municipalidad de Lobería</t>
  </si>
  <si>
    <t>MUN-BA-051</t>
  </si>
  <si>
    <t>General Paz</t>
  </si>
  <si>
    <t>Municipalidad de General Paz</t>
  </si>
  <si>
    <t>MUN-BA-052</t>
  </si>
  <si>
    <t>Maipú</t>
  </si>
  <si>
    <t>Pago Web Redes</t>
  </si>
  <si>
    <t>Municipalidad de Maipú |</t>
  </si>
  <si>
    <t>MUN-BA-053</t>
  </si>
  <si>
    <t>Castelli</t>
  </si>
  <si>
    <t>Avanzado (Salud Online)</t>
  </si>
  <si>
    <t>Pasarela Pago en Línea</t>
  </si>
  <si>
    <t>Avanzado (WhatsApp CAV)</t>
  </si>
  <si>
    <t>Municipalidad de Castelli – Municipalidad de Castelli</t>
  </si>
  <si>
    <t>MUN-BA-054</t>
  </si>
  <si>
    <t>NET Pagos / Web</t>
  </si>
  <si>
    <t>Municipalidad San Cayetano</t>
  </si>
  <si>
    <t>MUN-BA-055</t>
  </si>
  <si>
    <t>Lezama</t>
  </si>
  <si>
    <t>Ingresos Públicos Web</t>
  </si>
  <si>
    <t>Municipalidad de Lezama</t>
  </si>
  <si>
    <t>General Lavalle</t>
  </si>
  <si>
    <t>Consulta y Pago Online</t>
  </si>
  <si>
    <t>MUN-BA-057</t>
  </si>
  <si>
    <t>Pila</t>
  </si>
  <si>
    <t>Medio (Boletín)</t>
  </si>
  <si>
    <t>Provincia NET Pagos</t>
  </si>
  <si>
    <t>Municipalidad de Pila</t>
  </si>
  <si>
    <t>MUN-BA-058</t>
  </si>
  <si>
    <t>General Guido</t>
  </si>
  <si>
    <t>Emisión Web</t>
  </si>
  <si>
    <t>Municipalidad de General Guido</t>
  </si>
  <si>
    <t>MUN-BA-059</t>
  </si>
  <si>
    <t>Tordillo</t>
  </si>
  <si>
    <t>Emisión Comprobantes</t>
  </si>
  <si>
    <t>Municipalidad de Tordillo</t>
  </si>
  <si>
    <t>MUN-BA-060</t>
  </si>
  <si>
    <t>Coronel Rosales</t>
  </si>
  <si>
    <t>Portal Trámites Digitales</t>
  </si>
  <si>
    <t>Mesa Digital</t>
  </si>
  <si>
    <t>Logo MCR</t>
  </si>
  <si>
    <t>MUN-BA-061</t>
  </si>
  <si>
    <t>Tres Arroyos</t>
  </si>
  <si>
    <t>Módulos Digitales</t>
  </si>
  <si>
    <t>Teléfono/Web</t>
  </si>
  <si>
    <t>Portal Vecino</t>
  </si>
  <si>
    <t>GDA - Tres Arroyos</t>
  </si>
  <si>
    <t>MUN-BA-062</t>
  </si>
  <si>
    <t>Coronel Suárez</t>
  </si>
  <si>
    <t>Deudaweb / Tasas</t>
  </si>
  <si>
    <t>Intranet Web</t>
  </si>
  <si>
    <t>147 / Chatbot Tasas</t>
  </si>
  <si>
    <t>Municipalidad de Coronel Suárez</t>
  </si>
  <si>
    <t>MUN-BA-063</t>
  </si>
  <si>
    <t>Web Salud/Licencias</t>
  </si>
  <si>
    <t>Oficina Virtual Débito</t>
  </si>
  <si>
    <t>Avanzado (GDE Patagones)</t>
  </si>
  <si>
    <t>Municipalidad de Patagones</t>
  </si>
  <si>
    <t>MUN-BA-064</t>
  </si>
  <si>
    <t>Villarino</t>
  </si>
  <si>
    <t>Turnero Licencias</t>
  </si>
  <si>
    <t>Autogestión Villarino</t>
  </si>
  <si>
    <t>Sistema Digital</t>
  </si>
  <si>
    <t>Municipio de Villarino</t>
  </si>
  <si>
    <t>Coronel Pringles</t>
  </si>
  <si>
    <t>Web</t>
  </si>
  <si>
    <t>Tasas Pringles</t>
  </si>
  <si>
    <t>Digitalización Interna</t>
  </si>
  <si>
    <t>Atención Vecinal</t>
  </si>
  <si>
    <t>Portal Tasas</t>
  </si>
  <si>
    <t>Municipalidad de Coronel Pringles |</t>
  </si>
  <si>
    <t>MUN-BA-066</t>
  </si>
  <si>
    <t>Benito Juárez</t>
  </si>
  <si>
    <t>Boleta Digital BAPRO</t>
  </si>
  <si>
    <t>Mixta</t>
  </si>
  <si>
    <t>Presencial/Web</t>
  </si>
  <si>
    <t>Municipio de Bolivar</t>
  </si>
  <si>
    <t>MUN-BA-067</t>
  </si>
  <si>
    <t>Saavedra (Pigüé)</t>
  </si>
  <si>
    <t>Turnos MDSP</t>
  </si>
  <si>
    <t>Rentas Saavedra</t>
  </si>
  <si>
    <t>En implementación</t>
  </si>
  <si>
    <t>Portal Informativo</t>
  </si>
  <si>
    <t>Turnos &amp; Rentas</t>
  </si>
  <si>
    <t>Municipalidad de Saavedra - Pigüé</t>
  </si>
  <si>
    <t>MUN-BA-068</t>
  </si>
  <si>
    <t>Adolfo Alsina</t>
  </si>
  <si>
    <t>Turnos Médicos</t>
  </si>
  <si>
    <t>Tasas Alsina</t>
  </si>
  <si>
    <t>Proceso gradual</t>
  </si>
  <si>
    <t>Web Municipal</t>
  </si>
  <si>
    <t>Municipalidad de Adolfo Alsina</t>
  </si>
  <si>
    <t>MUN-BA-069</t>
  </si>
  <si>
    <t>Daireaux</t>
  </si>
  <si>
    <t>Turnos Daireaux</t>
  </si>
  <si>
    <t>SIPAVI Pago Virtual</t>
  </si>
  <si>
    <t>Circuito Digital</t>
  </si>
  <si>
    <t>Líneas Directas</t>
  </si>
  <si>
    <t>Portal Daireaux</t>
  </si>
  <si>
    <t>MUN-BA-070</t>
  </si>
  <si>
    <t>Puán</t>
  </si>
  <si>
    <t>Web Salud</t>
  </si>
  <si>
    <t>WhatsApp / Banca Web</t>
  </si>
  <si>
    <t>Digitalización</t>
  </si>
  <si>
    <t>Mesa Entrada</t>
  </si>
  <si>
    <t>Municipalidad de Puan</t>
  </si>
  <si>
    <t>MUN-BA-071</t>
  </si>
  <si>
    <t>Coronel Dorrego</t>
  </si>
  <si>
    <t>App Hospital Dorrego</t>
  </si>
  <si>
    <t>Firma Digital</t>
  </si>
  <si>
    <t>OMIC / Atención</t>
  </si>
  <si>
    <t>Hacienda Digital</t>
  </si>
  <si>
    <t>Municipalidad de Dorrego</t>
  </si>
  <si>
    <t>MUN-BA-072</t>
  </si>
  <si>
    <t>Tornquist</t>
  </si>
  <si>
    <t>Turnos Web</t>
  </si>
  <si>
    <t>Factura Digital</t>
  </si>
  <si>
    <t>Portal Empleado</t>
  </si>
  <si>
    <t>Tornquist Municipio</t>
  </si>
  <si>
    <t>MUN-BA-073</t>
  </si>
  <si>
    <t>Gonzales Chaves</t>
  </si>
  <si>
    <t>Salud Chaves</t>
  </si>
  <si>
    <t>Pago Digital Tasas</t>
  </si>
  <si>
    <t>Secretaría Gobierno</t>
  </si>
  <si>
    <t>Portal Chaves</t>
  </si>
  <si>
    <t>Chaves Municipio</t>
  </si>
  <si>
    <t>MUN-BA-074</t>
  </si>
  <si>
    <t>Guaminí</t>
  </si>
  <si>
    <t>Servicios Web Guaminí</t>
  </si>
  <si>
    <t>Boletín / Expedientes</t>
  </si>
  <si>
    <t>Guía Servicios</t>
  </si>
  <si>
    <t>Servicios Web</t>
  </si>
  <si>
    <t>Municipalidad de Guaminí</t>
  </si>
  <si>
    <t>MUN-BA-075</t>
  </si>
  <si>
    <t>General La Madrid</t>
  </si>
  <si>
    <t>Guía Trámites</t>
  </si>
  <si>
    <t>Tasas Municipales</t>
  </si>
  <si>
    <t>Dir Modernización</t>
  </si>
  <si>
    <t>Municipalidad de General La Madrid</t>
  </si>
  <si>
    <t>MUN-BA-076</t>
  </si>
  <si>
    <t>Laprida</t>
  </si>
  <si>
    <t>Licencias Laprida</t>
  </si>
  <si>
    <t>Tasas Laprida</t>
  </si>
  <si>
    <t>Proveedores / Sueldos</t>
  </si>
  <si>
    <t>Portal Laprida</t>
  </si>
  <si>
    <t>Municipalidad de Laprida</t>
  </si>
  <si>
    <t>MUN-BA-077</t>
  </si>
  <si>
    <t>Salliqueló</t>
  </si>
  <si>
    <t>Web Trámites</t>
  </si>
  <si>
    <t>Boleta Email / Pago Web</t>
  </si>
  <si>
    <t>Municipio de Salliqueló</t>
  </si>
  <si>
    <t>MUN-BA-078</t>
  </si>
  <si>
    <t>Tres Lomas</t>
  </si>
  <si>
    <t>Web / Presencial</t>
  </si>
  <si>
    <t>Consulta / Descarga</t>
  </si>
  <si>
    <t>Jefatura Gobierno</t>
  </si>
  <si>
    <t>Web Tres Lomas</t>
  </si>
  <si>
    <t>MUN-BA-079</t>
  </si>
  <si>
    <t>Activo (SIGMUW)</t>
  </si>
  <si>
    <t>MH App / Web</t>
  </si>
  <si>
    <t>SIGMUW Hacienda</t>
  </si>
  <si>
    <t>Sistema SIGMUW</t>
  </si>
  <si>
    <t>MH App Reportes</t>
  </si>
  <si>
    <t>MH App / SIGMUW</t>
  </si>
  <si>
    <t>MUN-BA-080</t>
  </si>
  <si>
    <t>Pellegrini</t>
  </si>
  <si>
    <t>Tasas Online</t>
  </si>
  <si>
    <t>Convenio Min Gobierno</t>
  </si>
  <si>
    <t>Municipalidad de Pellegrini</t>
  </si>
  <si>
    <t>Bolívar</t>
  </si>
  <si>
    <t>Rentas Bolívar</t>
  </si>
  <si>
    <t>Despapelización</t>
  </si>
  <si>
    <t>Línea 147 / WhatsApp</t>
  </si>
  <si>
    <t>Bolívar Municipio</t>
  </si>
  <si>
    <t>MUN-BA-082</t>
  </si>
  <si>
    <t>Avanzado (GDE Saladillo)</t>
  </si>
  <si>
    <t>Autogestión Ciudadana</t>
  </si>
  <si>
    <t>Municipalidad de Saladillo |</t>
  </si>
  <si>
    <t>MUN-BA-083</t>
  </si>
  <si>
    <t>MUNI BOT 25 (MulitaBOT)</t>
  </si>
  <si>
    <t>MIS TASAS 25DM / Web</t>
  </si>
  <si>
    <t>Gestiones Online</t>
  </si>
  <si>
    <t>Chatbot MUNI BOT 25</t>
  </si>
  <si>
    <t>Municipio de 25 de Mayo</t>
  </si>
  <si>
    <t>Roque Pérez</t>
  </si>
  <si>
    <t>Salud Digital</t>
  </si>
  <si>
    <t>Calendario Fiscal</t>
  </si>
  <si>
    <t>Digitalización Paulatina</t>
  </si>
  <si>
    <t>Sitio Oficial</t>
  </si>
  <si>
    <t>Municipalidad de Roque Pérez |</t>
  </si>
  <si>
    <t>General Alvear</t>
  </si>
  <si>
    <t>Mi Salud Digital</t>
  </si>
  <si>
    <t>Tesorería Transferencia</t>
  </si>
  <si>
    <t>Tramitación Analógica</t>
  </si>
  <si>
    <t>Municipalidad de General Alvear</t>
  </si>
  <si>
    <t>MUN-BA-086</t>
  </si>
  <si>
    <t>Tapalqué</t>
  </si>
  <si>
    <t>Salud / Licencias</t>
  </si>
  <si>
    <t>Sistema Tributario / TISH DDJJ</t>
  </si>
  <si>
    <t>Reforma Adm Financiera</t>
  </si>
  <si>
    <t>Programa Mejor Tapalqué</t>
  </si>
  <si>
    <t>Portal Contribuyente</t>
  </si>
  <si>
    <t>Municipalidad de Tapalqué</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</si>
</sst>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0&quot; hab.&quot;"/>
    <numFmt numFmtId="165" formatCode="&quot;$&quot;#,##0.00&quot; M ARS&quot;"/>
    <numFmt numFmtId="166" formatCode="0.0%"/>
    <numFmt numFmtId="167" formatCode="&quot;$&quot;#,##0"/>
  </numFmts>
  <fonts count="12">
    <font>
      <sz val="10.0"/>
      <color rgb="FF000000"/>
      <name val="Arial"/>
      <scheme val="minor"/>
    </font>
    <font>
      <b/>
      <sz val="14.0"/>
      <color rgb="FFFFFFFF"/>
      <name val="Montserrat"/>
    </font>
    <font>
      <sz val="10.0"/>
      <color rgb="FF171C1F"/>
      <name val="Roboto"/>
    </font>
    <font>
      <b/>
      <sz val="14.0"/>
      <color rgb="FF425D90"/>
      <name val="Montserrat"/>
    </font>
    <font>
      <b/>
      <sz val="11.0"/>
      <color rgb="FFFFFFFF"/>
      <name val="Montserrat"/>
    </font>
    <font>
      <b/>
      <sz val="12.0"/>
      <color rgb="FF1A1B20"/>
      <name val="Roboto"/>
    </font>
    <font>
      <sz val="10.0"/>
      <color rgb="FF1A1B1F"/>
      <name val="Roboto"/>
    </font>
    <font/>
    <font>
      <sz val="10.0"/>
      <color rgb="FF1A1B20"/>
      <name val="Roboto"/>
    </font>
    <font>
      <u/>
      <sz val="10.0"/>
      <color rgb="FF0000FF"/>
      <name val="Roboto"/>
    </font>
    <font>
      <sz val="10.0"/>
      <color rgb="FF1F1F1F"/>
      <name val="Roboto"/>
    </font>
    <font>
      <sz val="10.0"/>
      <color rgb="FF000000"/>
      <name val="Roboto"/>
    </font>
  </fonts>
  <fills count="8">
    <fill>
      <patternFill patternType="none"/>
    </fill>
    <fill>
      <patternFill patternType="lightGray"/>
    </fill>
    <fill>
      <patternFill patternType="solid">
        <fgColor rgb="FF2F618B"/>
        <bgColor rgb="FF2F618B"/>
      </patternFill>
    </fill>
    <fill>
      <patternFill patternType="solid">
        <fgColor rgb="FF425D90"/>
        <bgColor rgb="FF425D90"/>
      </patternFill>
    </fill>
    <fill>
      <patternFill patternType="solid">
        <fgColor rgb="FFF7F8FF"/>
        <bgColor rgb="FFF7F8FF"/>
      </patternFill>
    </fill>
    <fill>
      <patternFill patternType="solid">
        <fgColor rgb="FFF9F9FF"/>
        <bgColor rgb="FFF9F9FF"/>
      </patternFill>
    </fill>
    <fill>
      <patternFill patternType="solid">
        <fgColor rgb="FFFFF2CC"/>
        <bgColor rgb="FFFFF2CC"/>
      </patternFill>
    </fill>
    <fill>
      <patternFill patternType="solid">
        <fgColor rgb="FFD9EAD3"/>
        <bgColor rgb="FFD9EAD3"/>
      </patternFill>
    </fill>
  </fills>
  <borders count="7">
    <border/>
    <border>
      <left style="thin">
        <color rgb="FF71777E"/>
      </left>
      <right style="thin">
        <color rgb="FF71777E"/>
      </right>
      <top style="thin">
        <color rgb="FF71777E"/>
      </top>
      <bottom style="thin">
        <color rgb="FF71777E"/>
      </bottom>
    </border>
    <border>
      <left style="thin">
        <color rgb="FF73777E"/>
      </left>
      <right style="thin">
        <color rgb="FF73777E"/>
      </right>
      <top style="thin">
        <color rgb="FF73777E"/>
      </top>
      <bottom style="thin">
        <color rgb="FF73777E"/>
      </bottom>
    </border>
    <border>
      <bottom style="thin">
        <color rgb="FF73777E"/>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41">
    <xf borderId="0" fillId="0" fontId="0" numFmtId="0" xfId="0" applyAlignment="1" applyFont="1">
      <alignment readingOrder="0" shrinkToFit="0" vertical="bottom" wrapText="0"/>
    </xf>
    <xf borderId="0" fillId="2" fontId="1" numFmtId="0" xfId="0" applyAlignment="1" applyFill="1" applyFont="1">
      <alignment horizontal="center" readingOrder="0" shrinkToFit="0" vertical="center" wrapText="1"/>
    </xf>
    <xf borderId="0" fillId="0" fontId="2" numFmtId="0" xfId="0" applyAlignment="1" applyFont="1">
      <alignment shrinkToFit="0" vertical="top" wrapText="1"/>
    </xf>
    <xf borderId="1" fillId="2" fontId="1" numFmtId="0" xfId="0" applyAlignment="1" applyBorder="1" applyFont="1">
      <alignment horizontal="center" readingOrder="0" shrinkToFit="0" vertical="center" wrapText="1"/>
    </xf>
    <xf borderId="0" fillId="0" fontId="3" numFmtId="0" xfId="0" applyAlignment="1" applyFont="1">
      <alignment horizontal="center" readingOrder="0" vertical="center"/>
    </xf>
    <xf borderId="2" fillId="3" fontId="4" numFmtId="0" xfId="0" applyAlignment="1" applyBorder="1" applyFill="1" applyFont="1">
      <alignment horizontal="center" readingOrder="0" vertical="center"/>
    </xf>
    <xf borderId="1" fillId="4" fontId="2" numFmtId="0" xfId="0" applyAlignment="1" applyBorder="1" applyFill="1" applyFont="1">
      <alignment horizontal="center" readingOrder="0" shrinkToFit="0" vertical="center" wrapText="1"/>
    </xf>
    <xf borderId="0" fillId="3" fontId="4" numFmtId="0" xfId="0" applyAlignment="1" applyFont="1">
      <alignment horizontal="center" readingOrder="0" shrinkToFit="0" vertical="center" wrapText="1"/>
    </xf>
    <xf borderId="0" fillId="3" fontId="4" numFmtId="0" xfId="0" applyAlignment="1" applyFont="1">
      <alignment horizontal="center" readingOrder="0" shrinkToFit="0" vertical="center" wrapText="1"/>
    </xf>
    <xf borderId="1" fillId="4" fontId="2" numFmtId="0" xfId="0" applyAlignment="1" applyBorder="1" applyFont="1">
      <alignment readingOrder="0" shrinkToFit="0" vertical="center" wrapText="1"/>
    </xf>
    <xf borderId="3" fillId="5" fontId="5" numFmtId="164" xfId="0" applyAlignment="1" applyBorder="1" applyFill="1" applyFont="1" applyNumberFormat="1">
      <alignment horizontal="center" readingOrder="0" vertical="center"/>
    </xf>
    <xf borderId="1" fillId="0" fontId="2" numFmtId="0" xfId="0" applyAlignment="1" applyBorder="1" applyFont="1">
      <alignment horizontal="center" readingOrder="0" shrinkToFit="0" vertical="center" wrapText="1"/>
    </xf>
    <xf borderId="3" fillId="5" fontId="5" numFmtId="165" xfId="0" applyAlignment="1" applyBorder="1" applyFont="1" applyNumberFormat="1">
      <alignment horizontal="center" readingOrder="0" vertical="center"/>
    </xf>
    <xf borderId="1" fillId="0" fontId="2" numFmtId="0" xfId="0" applyAlignment="1" applyBorder="1" applyFont="1">
      <alignment readingOrder="0" shrinkToFit="0" vertical="center" wrapText="1"/>
    </xf>
    <xf borderId="3" fillId="5" fontId="5" numFmtId="166" xfId="0" applyAlignment="1" applyBorder="1" applyFont="1" applyNumberFormat="1">
      <alignment horizontal="center" readingOrder="0" vertical="center"/>
    </xf>
    <xf borderId="2" fillId="0" fontId="6" numFmtId="0" xfId="0" applyAlignment="1" applyBorder="1" applyFont="1">
      <alignment horizontal="center" readingOrder="0" shrinkToFit="0" vertical="center" wrapText="0"/>
    </xf>
    <xf borderId="2" fillId="0" fontId="6" numFmtId="0" xfId="0" applyAlignment="1" applyBorder="1" applyFont="1">
      <alignment horizontal="center" readingOrder="0" shrinkToFit="0" vertical="center" wrapText="1"/>
    </xf>
    <xf borderId="3" fillId="0" fontId="7" numFmtId="0" xfId="0" applyBorder="1" applyFont="1"/>
    <xf borderId="0" fillId="0" fontId="8" numFmtId="0" xfId="0" applyAlignment="1" applyFont="1">
      <alignment horizontal="center" readingOrder="0" vertical="center"/>
    </xf>
    <xf borderId="0" fillId="0" fontId="8" numFmtId="3" xfId="0" applyAlignment="1" applyFont="1" applyNumberFormat="1">
      <alignment horizontal="center" readingOrder="0" vertical="center"/>
    </xf>
    <xf borderId="0" fillId="0" fontId="8" numFmtId="166" xfId="0" applyAlignment="1" applyFont="1" applyNumberFormat="1">
      <alignment horizontal="center" readingOrder="0" vertical="center"/>
    </xf>
    <xf borderId="0" fillId="2" fontId="1" numFmtId="0" xfId="0" applyAlignment="1" applyFont="1">
      <alignment readingOrder="0" shrinkToFit="0" vertical="top" wrapText="1"/>
    </xf>
    <xf borderId="0" fillId="0" fontId="2" numFmtId="0" xfId="0" applyAlignment="1" applyFont="1">
      <alignment readingOrder="0" shrinkToFit="0" vertical="center" wrapText="1"/>
    </xf>
    <xf borderId="2" fillId="0" fontId="6" numFmtId="0" xfId="0" applyAlignment="1" applyBorder="1" applyFont="1">
      <alignment readingOrder="0" shrinkToFit="0" vertical="center" wrapText="1"/>
    </xf>
    <xf borderId="0" fillId="0" fontId="8" numFmtId="0" xfId="0" applyAlignment="1" applyFont="1">
      <alignment readingOrder="0" vertical="center"/>
    </xf>
    <xf borderId="0" fillId="0" fontId="8" numFmtId="3" xfId="0" applyAlignment="1" applyFont="1" applyNumberFormat="1">
      <alignment readingOrder="0" vertical="center"/>
    </xf>
    <xf borderId="0" fillId="6" fontId="8" numFmtId="165" xfId="0" applyAlignment="1" applyFill="1" applyFont="1" applyNumberFormat="1">
      <alignment horizontal="center" readingOrder="0" vertical="center"/>
    </xf>
    <xf borderId="0" fillId="0" fontId="2" numFmtId="0" xfId="0" applyAlignment="1" applyFont="1">
      <alignment horizontal="left" readingOrder="0" shrinkToFit="0" vertical="center" wrapText="1"/>
    </xf>
    <xf borderId="0" fillId="0" fontId="8" numFmtId="166" xfId="0" applyAlignment="1" applyFont="1" applyNumberFormat="1">
      <alignment readingOrder="0" vertical="center"/>
    </xf>
    <xf borderId="0" fillId="0" fontId="8" numFmtId="165" xfId="0" applyAlignment="1" applyFont="1" applyNumberFormat="1">
      <alignment readingOrder="0" vertical="center"/>
    </xf>
    <xf borderId="2" fillId="0" fontId="9" numFmtId="0" xfId="0" applyAlignment="1" applyBorder="1" applyFont="1">
      <alignment readingOrder="0" shrinkToFit="0" vertical="center" wrapText="1"/>
    </xf>
    <xf borderId="4" fillId="7" fontId="8" numFmtId="0" xfId="0" applyAlignment="1" applyBorder="1" applyFill="1" applyFont="1">
      <alignment horizontal="center" readingOrder="0" vertical="center"/>
    </xf>
    <xf borderId="5" fillId="7" fontId="8" numFmtId="0" xfId="0" applyAlignment="1" applyBorder="1" applyFont="1">
      <alignment readingOrder="0" vertical="center"/>
    </xf>
    <xf borderId="5" fillId="7" fontId="8" numFmtId="3" xfId="0" applyAlignment="1" applyBorder="1" applyFont="1" applyNumberFormat="1">
      <alignment readingOrder="0" vertical="center"/>
    </xf>
    <xf borderId="5" fillId="7" fontId="8" numFmtId="166" xfId="0" applyAlignment="1" applyBorder="1" applyFont="1" applyNumberFormat="1">
      <alignment readingOrder="0" vertical="center"/>
    </xf>
    <xf borderId="5" fillId="7" fontId="8" numFmtId="166" xfId="0" applyAlignment="1" applyBorder="1" applyFont="1" applyNumberFormat="1">
      <alignment horizontal="center" readingOrder="0" vertical="center"/>
    </xf>
    <xf borderId="6" fillId="7" fontId="8" numFmtId="165" xfId="0" applyAlignment="1" applyBorder="1" applyFont="1" applyNumberFormat="1">
      <alignment readingOrder="0" vertical="center"/>
    </xf>
    <xf borderId="0" fillId="0" fontId="8" numFmtId="0" xfId="0" applyAlignment="1" applyFont="1">
      <alignment horizontal="left" readingOrder="0" vertical="center"/>
    </xf>
    <xf borderId="0" fillId="0" fontId="8" numFmtId="167" xfId="0" applyAlignment="1" applyFont="1" applyNumberFormat="1">
      <alignment horizontal="center" readingOrder="0" vertical="center"/>
    </xf>
    <xf borderId="2" fillId="0" fontId="10" numFmtId="0" xfId="0" applyAlignment="1" applyBorder="1" applyFont="1">
      <alignment readingOrder="0" shrinkToFit="0" vertical="center" wrapText="1"/>
    </xf>
    <xf borderId="2" fillId="0" fontId="11" numFmtId="0" xfId="0" applyAlignment="1" applyBorder="1" applyFont="1">
      <alignment readingOrder="0" shrinkToFit="0" vertical="center" wrapText="1"/>
    </xf>
  </cellXfs>
  <cellStyles count="1">
    <cellStyle xfId="0" name="Normal" builtinId="0"/>
  </cellStyles>
  <dxfs count="4">
    <dxf>
      <font/>
      <fill>
        <patternFill patternType="none"/>
      </fill>
      <border/>
    </dxf>
    <dxf>
      <font/>
      <fill>
        <patternFill patternType="solid">
          <fgColor rgb="FF425D90"/>
          <bgColor rgb="FF425D90"/>
        </patternFill>
      </fill>
      <border/>
    </dxf>
    <dxf>
      <font/>
      <fill>
        <patternFill patternType="solid">
          <fgColor rgb="FFF9F9FF"/>
          <bgColor rgb="FFF9F9FF"/>
        </patternFill>
      </fill>
      <border/>
    </dxf>
    <dxf>
      <font/>
      <fill>
        <patternFill patternType="solid">
          <fgColor rgb="FFFFFFFF"/>
          <bgColor rgb="FFFFFFFF"/>
        </patternFill>
      </fill>
      <border/>
    </dxf>
  </dxfs>
  <tableStyles count="4">
    <tableStyle count="3" pivot="0" name="Dashboard y Resumen Secciones-style">
      <tableStyleElement dxfId="1" type="headerRow"/>
      <tableStyleElement dxfId="2" type="firstRowStripe"/>
      <tableStyleElement dxfId="3" type="secondRowStripe"/>
    </tableStyle>
    <tableStyle count="3" pivot="0" name="Matriz-style">
      <tableStyleElement dxfId="1" type="headerRow"/>
      <tableStyleElement dxfId="2" type="firstRowStripe"/>
      <tableStyleElement dxfId="3" type="secondRowStripe"/>
    </tableStyle>
    <tableStyle count="3" pivot="0" name="5 Años (86 Munis)-style">
      <tableStyleElement dxfId="1" type="headerRow"/>
      <tableStyleElement dxfId="2" type="firstRowStripe"/>
      <tableStyleElement dxfId="3" type="secondRowStripe"/>
    </tableStyle>
    <tableStyle count="3" pivot="0" name="Métricas de Impacto Módulos-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L87" displayName="Table_1" name="Table_1" id="1">
  <tableColumns count="12">
    <tableColumn name="ID_Municipio" id="1"/>
    <tableColumn name="Municipio" id="2"/>
    <tableColumn name="Sección Electoral" id="3"/>
    <tableColumn name="Pobl. Aprox" id="4"/>
    <tableColumn name="Portal y Transparencia" id="5"/>
    <tableColumn name="Turnos Digitales" id="6"/>
    <tableColumn name="Cobro Electrónico de Tasas" id="7"/>
    <tableColumn name="Expediente Digital (GDE)" id="8"/>
    <tableColumn name="Reclamos Urbanos (147 / App)" id="9"/>
    <tableColumn name="Sistema RAFAM" id="10"/>
    <tableColumn name="Ventanilla Única / Trámites" id="11"/>
    <tableColumn name="Sitio Web / Fuente" id="12"/>
  </tableColumns>
  <tableStyleInfo name="Matriz-style" showColumnStripes="0" showFirstColumn="1" showLastColumn="1" showRowStripes="1"/>
</table>
</file>

<file path=xl/tables/table2.xml><?xml version="1.0" encoding="utf-8"?>
<table xmlns="http://schemas.openxmlformats.org/spreadsheetml/2006/main" ref="A7:K15" displayName="Table_2" name="Table_2" id="2">
  <tableColumns count="11">
    <tableColumn name="Sección" id="1"/>
    <tableColumn name="Cant. Municipios" id="2"/>
    <tableColumn name="Población Total" id="3"/>
    <tableColumn name="Madurez Actual (Año 0)" id="4"/>
    <tableColumn name="Año 1" id="5"/>
    <tableColumn name="Año 2" id="6"/>
    <tableColumn name="Año 3" id="7"/>
    <tableColumn name="Año 4" id="8"/>
    <tableColumn name="Año 5" id="9"/>
    <tableColumn name="Brecha de Impacto" id="10"/>
    <tableColumn name="Impacto Financiero Anual Año 5 ($ M ARS)" id="11"/>
  </tableColumns>
  <tableStyleInfo name="Dashboard y Resumen Secciones-style" showColumnStripes="0" showFirstColumn="1" showLastColumn="1" showRowStripes="1"/>
</table>
</file>

<file path=xl/tables/table3.xml><?xml version="1.0" encoding="utf-8"?>
<table xmlns="http://schemas.openxmlformats.org/spreadsheetml/2006/main" ref="A1:L33" displayName="Table_3" name="Table_3" id="3">
  <tableColumns count="12">
    <tableColumn name="ID_Municipio" id="1"/>
    <tableColumn name="Municipio" id="2"/>
    <tableColumn name="Sección Electoral" id="3"/>
    <tableColumn name="Población Aprox." id="4"/>
    <tableColumn name="Estado Actual (Año 0 %)" id="5"/>
    <tableColumn name="Año 1 %" id="6"/>
    <tableColumn name="Año 2 %" id="7"/>
    <tableColumn name="Año 3 %" id="8"/>
    <tableColumn name="Año 4 %" id="9"/>
    <tableColumn name="Año 5 %" id="10"/>
    <tableColumn name="Brecha de Impacto %" id="11"/>
    <tableColumn name="Impacto Financiero Anual Proyectado ($ M ARS)" id="12"/>
  </tableColumns>
  <tableStyleInfo name="5 Años (86 Munis)-style" showColumnStripes="0" showFirstColumn="1" showLastColumn="1" showRowStripes="1"/>
</table>
</file>

<file path=xl/tables/table4.xml><?xml version="1.0" encoding="utf-8"?>
<table xmlns="http://schemas.openxmlformats.org/spreadsheetml/2006/main" ref="A1:E6" displayName="Table_4" name="Table_4" id="4">
  <tableColumns count="5">
    <tableColumn name="Módulo SaaS" id="1"/>
    <tableColumn name="Función Principal" id="2"/>
    <tableColumn name="Ahorro/Recupero Estimado hab/año" id="3"/>
    <tableColumn name="ROI Proyectado Año 1" id="4"/>
    <tableColumn name="Tiempo Recupero Inversión" id="5"/>
  </tableColumns>
  <tableStyleInfo name="Métricas de Impacto Módulo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marchiquita.gob.ar/" TargetMode="External"/><Relationship Id="rId83" Type="http://schemas.openxmlformats.org/officeDocument/2006/relationships/drawing" Target="../drawings/drawing1.xml"/><Relationship Id="rId42" Type="http://schemas.openxmlformats.org/officeDocument/2006/relationships/hyperlink" Target="https://lasflores.gob.ar/" TargetMode="External"/><Relationship Id="rId41" Type="http://schemas.openxmlformats.org/officeDocument/2006/relationships/hyperlink" Target="https://dolores.gob.ar/" TargetMode="External"/><Relationship Id="rId85" Type="http://schemas.openxmlformats.org/officeDocument/2006/relationships/table" Target="../tables/table1.xml"/><Relationship Id="rId44" Type="http://schemas.openxmlformats.org/officeDocument/2006/relationships/hyperlink" Target="https://www.ayacucho.gob.ar/" TargetMode="External"/><Relationship Id="rId43" Type="http://schemas.openxmlformats.org/officeDocument/2006/relationships/hyperlink" Target="https://www.madariaga.gob.ar/" TargetMode="External"/><Relationship Id="rId46" Type="http://schemas.openxmlformats.org/officeDocument/2006/relationships/hyperlink" Target="https://loberia.gov.ar/" TargetMode="External"/><Relationship Id="rId45" Type="http://schemas.openxmlformats.org/officeDocument/2006/relationships/hyperlink" Target="https://generalbelgrano.gob.ar/" TargetMode="External"/><Relationship Id="rId80" Type="http://schemas.openxmlformats.org/officeDocument/2006/relationships/hyperlink" Target="https://roqueperez.gob.ar/" TargetMode="External"/><Relationship Id="rId82" Type="http://schemas.openxmlformats.org/officeDocument/2006/relationships/hyperlink" Target="https://www.municipiodetapalque.gob.ar/" TargetMode="External"/><Relationship Id="rId81" Type="http://schemas.openxmlformats.org/officeDocument/2006/relationships/hyperlink" Target="https://munialvear.gov.ar/" TargetMode="External"/><Relationship Id="rId1" Type="http://schemas.openxmlformats.org/officeDocument/2006/relationships/hyperlink" Target="https://suipacha.gob.ar/" TargetMode="External"/><Relationship Id="rId2" Type="http://schemas.openxmlformats.org/officeDocument/2006/relationships/hyperlink" Target="https://gobiernodelasheras.com/" TargetMode="External"/><Relationship Id="rId3" Type="http://schemas.openxmlformats.org/officeDocument/2006/relationships/hyperlink" Target="https://salto.gob.ar/" TargetMode="External"/><Relationship Id="rId4" Type="http://schemas.openxmlformats.org/officeDocument/2006/relationships/hyperlink" Target="https://gobiernoabierto.baradero.gob.ar/" TargetMode="External"/><Relationship Id="rId9" Type="http://schemas.openxmlformats.org/officeDocument/2006/relationships/hyperlink" Target="https://areco.ar/" TargetMode="External"/><Relationship Id="rId48" Type="http://schemas.openxmlformats.org/officeDocument/2006/relationships/hyperlink" Target="https://www.maipu-gba.gob.ar/" TargetMode="External"/><Relationship Id="rId47" Type="http://schemas.openxmlformats.org/officeDocument/2006/relationships/hyperlink" Target="https://municipalidaddegeneralpaz.gob.ar/" TargetMode="External"/><Relationship Id="rId49" Type="http://schemas.openxmlformats.org/officeDocument/2006/relationships/hyperlink" Target="https://www.castelli.gob.ar/" TargetMode="External"/><Relationship Id="rId5" Type="http://schemas.openxmlformats.org/officeDocument/2006/relationships/hyperlink" Target="https://www.exaltaciondelacruz.gob.ar/" TargetMode="External"/><Relationship Id="rId6" Type="http://schemas.openxmlformats.org/officeDocument/2006/relationships/hyperlink" Target="https://ramallo.gob.ar/" TargetMode="External"/><Relationship Id="rId7" Type="http://schemas.openxmlformats.org/officeDocument/2006/relationships/hyperlink" Target="https://arrecifes.gob.ar/" TargetMode="External"/><Relationship Id="rId8" Type="http://schemas.openxmlformats.org/officeDocument/2006/relationships/hyperlink" Target="https://www.municipalidadcolonpba.gob.ar/" TargetMode="External"/><Relationship Id="rId73" Type="http://schemas.openxmlformats.org/officeDocument/2006/relationships/hyperlink" Target="https://www.salliquelo.gob.ar/" TargetMode="External"/><Relationship Id="rId72" Type="http://schemas.openxmlformats.org/officeDocument/2006/relationships/hyperlink" Target="https://www.laprida.gov.ar/" TargetMode="External"/><Relationship Id="rId31" Type="http://schemas.openxmlformats.org/officeDocument/2006/relationships/hyperlink" Target="https://www.pinto.gob.ar/" TargetMode="External"/><Relationship Id="rId75" Type="http://schemas.openxmlformats.org/officeDocument/2006/relationships/hyperlink" Target="https://montehermoso.gov.ar/sitio/" TargetMode="External"/><Relationship Id="rId30" Type="http://schemas.openxmlformats.org/officeDocument/2006/relationships/hyperlink" Target="https://alberti.gov.ar/" TargetMode="External"/><Relationship Id="rId74" Type="http://schemas.openxmlformats.org/officeDocument/2006/relationships/hyperlink" Target="https://www.treslomas.gob.ar/" TargetMode="External"/><Relationship Id="rId33" Type="http://schemas.openxmlformats.org/officeDocument/2006/relationships/hyperlink" Target="https://www.gba.gob.ar/economia/consulta_florentino_ameghino" TargetMode="External"/><Relationship Id="rId77" Type="http://schemas.openxmlformats.org/officeDocument/2006/relationships/hyperlink" Target="https://www.bolivar.gob.ar/" TargetMode="External"/><Relationship Id="rId32" Type="http://schemas.openxmlformats.org/officeDocument/2006/relationships/hyperlink" Target="https://www.hipolitoyrigoyen.gob.ar/" TargetMode="External"/><Relationship Id="rId76" Type="http://schemas.openxmlformats.org/officeDocument/2006/relationships/hyperlink" Target="https://www.pellegrini.gov.ar/" TargetMode="External"/><Relationship Id="rId35" Type="http://schemas.openxmlformats.org/officeDocument/2006/relationships/hyperlink" Target="http://www.rauch.mun.gba.gov.ar/web/" TargetMode="External"/><Relationship Id="rId79" Type="http://schemas.openxmlformats.org/officeDocument/2006/relationships/hyperlink" Target="https://25demayo.gob.ar/" TargetMode="External"/><Relationship Id="rId34" Type="http://schemas.openxmlformats.org/officeDocument/2006/relationships/hyperlink" Target="https://chascomus.gob.ar/" TargetMode="External"/><Relationship Id="rId78" Type="http://schemas.openxmlformats.org/officeDocument/2006/relationships/hyperlink" Target="https://www.saladillo.gob.ar/" TargetMode="External"/><Relationship Id="rId71" Type="http://schemas.openxmlformats.org/officeDocument/2006/relationships/hyperlink" Target="https://www.lamadrid.gob.ar/" TargetMode="External"/><Relationship Id="rId70" Type="http://schemas.openxmlformats.org/officeDocument/2006/relationships/hyperlink" Target="https://guamini.gob.ar/" TargetMode="External"/><Relationship Id="rId37" Type="http://schemas.openxmlformats.org/officeDocument/2006/relationships/hyperlink" Target="https://mga.gov.ar/" TargetMode="External"/><Relationship Id="rId36" Type="http://schemas.openxmlformats.org/officeDocument/2006/relationships/hyperlink" Target="https://balcarce.gob.ar/" TargetMode="External"/><Relationship Id="rId39" Type="http://schemas.openxmlformats.org/officeDocument/2006/relationships/hyperlink" Target="https://www.gesell.gob.ar/" TargetMode="External"/><Relationship Id="rId38" Type="http://schemas.openxmlformats.org/officeDocument/2006/relationships/hyperlink" Target="https://pinamar.gob.ar/" TargetMode="External"/><Relationship Id="rId62" Type="http://schemas.openxmlformats.org/officeDocument/2006/relationships/hyperlink" Target="https://sibom.slyt.gba.gob.ar/cities/15" TargetMode="External"/><Relationship Id="rId61" Type="http://schemas.openxmlformats.org/officeDocument/2006/relationships/hyperlink" Target="https://www.coronelpringles.gov.ar/" TargetMode="External"/><Relationship Id="rId20" Type="http://schemas.openxmlformats.org/officeDocument/2006/relationships/hyperlink" Target="https://www.bragado.gov.ar/" TargetMode="External"/><Relationship Id="rId64" Type="http://schemas.openxmlformats.org/officeDocument/2006/relationships/hyperlink" Target="https://www.adolfoalsina.gov.ar/" TargetMode="External"/><Relationship Id="rId63" Type="http://schemas.openxmlformats.org/officeDocument/2006/relationships/hyperlink" Target="https://portal.saavedra.gob.ar/" TargetMode="External"/><Relationship Id="rId22" Type="http://schemas.openxmlformats.org/officeDocument/2006/relationships/hyperlink" Target="https://www.lincoln.gob.ar/" TargetMode="External"/><Relationship Id="rId66" Type="http://schemas.openxmlformats.org/officeDocument/2006/relationships/hyperlink" Target="https://www.puan.gob.ar/" TargetMode="External"/><Relationship Id="rId21" Type="http://schemas.openxmlformats.org/officeDocument/2006/relationships/hyperlink" Target="https://www.pehuajo.gob.ar/" TargetMode="External"/><Relationship Id="rId65" Type="http://schemas.openxmlformats.org/officeDocument/2006/relationships/hyperlink" Target="https://daireaux.gob.ar/" TargetMode="External"/><Relationship Id="rId24" Type="http://schemas.openxmlformats.org/officeDocument/2006/relationships/hyperlink" Target="https://www.generalviamonte.gob.ar/" TargetMode="External"/><Relationship Id="rId68" Type="http://schemas.openxmlformats.org/officeDocument/2006/relationships/hyperlink" Target="https://tornquist.gob.ar/" TargetMode="External"/><Relationship Id="rId23" Type="http://schemas.openxmlformats.org/officeDocument/2006/relationships/hyperlink" Target="https://villegas.gob.ar/" TargetMode="External"/><Relationship Id="rId67" Type="http://schemas.openxmlformats.org/officeDocument/2006/relationships/hyperlink" Target="https://dorrego.gob.ar/" TargetMode="External"/><Relationship Id="rId60" Type="http://schemas.openxmlformats.org/officeDocument/2006/relationships/hyperlink" Target="http://www.villarino.gob.ar/" TargetMode="External"/><Relationship Id="rId26" Type="http://schemas.openxmlformats.org/officeDocument/2006/relationships/hyperlink" Target="https://munirivadavia.gob.ar/" TargetMode="External"/><Relationship Id="rId25" Type="http://schemas.openxmlformats.org/officeDocument/2006/relationships/hyperlink" Target="https://casares.gob.ar/" TargetMode="External"/><Relationship Id="rId69" Type="http://schemas.openxmlformats.org/officeDocument/2006/relationships/hyperlink" Target="https://gonzaleschaves.gob.ar/" TargetMode="External"/><Relationship Id="rId28" Type="http://schemas.openxmlformats.org/officeDocument/2006/relationships/hyperlink" Target="https://municipioalem.gob.ar/" TargetMode="External"/><Relationship Id="rId27" Type="http://schemas.openxmlformats.org/officeDocument/2006/relationships/hyperlink" Target="https://www.generalarenales.gob.ar/" TargetMode="External"/><Relationship Id="rId29" Type="http://schemas.openxmlformats.org/officeDocument/2006/relationships/hyperlink" Target="https://carlostejedor.gob.ar/" TargetMode="External"/><Relationship Id="rId51" Type="http://schemas.openxmlformats.org/officeDocument/2006/relationships/hyperlink" Target="https://lezama.gov.ar/" TargetMode="External"/><Relationship Id="rId50" Type="http://schemas.openxmlformats.org/officeDocument/2006/relationships/hyperlink" Target="https://sancayetano.gob.ar/" TargetMode="External"/><Relationship Id="rId53" Type="http://schemas.openxmlformats.org/officeDocument/2006/relationships/hyperlink" Target="https://pila.gob.ar/" TargetMode="External"/><Relationship Id="rId52" Type="http://schemas.openxmlformats.org/officeDocument/2006/relationships/hyperlink" Target="https://www.generallavalle.gob.ar/" TargetMode="External"/><Relationship Id="rId11" Type="http://schemas.openxmlformats.org/officeDocument/2006/relationships/hyperlink" Target="https://www.sanandresdegiles.gob.ar/" TargetMode="External"/><Relationship Id="rId55" Type="http://schemas.openxmlformats.org/officeDocument/2006/relationships/hyperlink" Target="https://tordillomunicipio.org/" TargetMode="External"/><Relationship Id="rId10" Type="http://schemas.openxmlformats.org/officeDocument/2006/relationships/hyperlink" Target="https://rojas.gov.ar/" TargetMode="External"/><Relationship Id="rId54" Type="http://schemas.openxmlformats.org/officeDocument/2006/relationships/hyperlink" Target="https://www.generalguido.gob.ar/" TargetMode="External"/><Relationship Id="rId13" Type="http://schemas.openxmlformats.org/officeDocument/2006/relationships/hyperlink" Target="https://magdalena.gob.ar/" TargetMode="External"/><Relationship Id="rId57" Type="http://schemas.openxmlformats.org/officeDocument/2006/relationships/hyperlink" Target="https://tresarroyos.movilparking.com/web/" TargetMode="External"/><Relationship Id="rId12" Type="http://schemas.openxmlformats.org/officeDocument/2006/relationships/hyperlink" Target="https://carmendeareco.gob.ar/" TargetMode="External"/><Relationship Id="rId56" Type="http://schemas.openxmlformats.org/officeDocument/2006/relationships/hyperlink" Target="https://mcr.gob.ar/" TargetMode="External"/><Relationship Id="rId15" Type="http://schemas.openxmlformats.org/officeDocument/2006/relationships/hyperlink" Target="https://puntaindio.gob.ar/" TargetMode="External"/><Relationship Id="rId59" Type="http://schemas.openxmlformats.org/officeDocument/2006/relationships/hyperlink" Target="https://patagones.gob.ar/" TargetMode="External"/><Relationship Id="rId14" Type="http://schemas.openxmlformats.org/officeDocument/2006/relationships/hyperlink" Target="https://www.lobos.gob.ar/" TargetMode="External"/><Relationship Id="rId58" Type="http://schemas.openxmlformats.org/officeDocument/2006/relationships/hyperlink" Target="https://www.coronelsuarez.gob.ar/" TargetMode="External"/><Relationship Id="rId17" Type="http://schemas.openxmlformats.org/officeDocument/2006/relationships/hyperlink" Target="https://chacabuco.gob.ar/" TargetMode="External"/><Relationship Id="rId16" Type="http://schemas.openxmlformats.org/officeDocument/2006/relationships/hyperlink" Target="https://chivilcoy.gov.ar/" TargetMode="External"/><Relationship Id="rId19" Type="http://schemas.openxmlformats.org/officeDocument/2006/relationships/hyperlink" Target="https://www.trenquelauquen.gov.ar/" TargetMode="External"/><Relationship Id="rId18" Type="http://schemas.openxmlformats.org/officeDocument/2006/relationships/hyperlink" Target="https://www.9dejulio.gov.ar/"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4.25"/>
    <col customWidth="1" min="2" max="2" width="21.0"/>
    <col customWidth="1" min="3" max="3" width="20.25"/>
    <col customWidth="1" min="4" max="4" width="11.38"/>
    <col customWidth="1" min="5" max="5" width="32.38"/>
    <col customWidth="1" min="6" max="6" width="27.88"/>
    <col customWidth="1" min="7" max="7" width="30.88"/>
    <col customWidth="1" min="8" max="8" width="29.25"/>
    <col customWidth="1" min="9" max="9" width="34.5"/>
    <col customWidth="1" min="10" max="10" width="17.75"/>
    <col customWidth="1" min="11" max="11" width="28.75"/>
    <col customWidth="1" min="12" max="12" width="38.0"/>
  </cols>
  <sheetData>
    <row r="1" ht="25.5" customHeight="1">
      <c r="A1" s="5" t="s">
        <v>3</v>
      </c>
      <c r="B1" s="5" t="s">
        <v>9</v>
      </c>
      <c r="C1" s="5" t="s">
        <v>10</v>
      </c>
      <c r="D1" s="5" t="s">
        <v>11</v>
      </c>
      <c r="E1" s="5" t="s">
        <v>13</v>
      </c>
      <c r="F1" s="5" t="s">
        <v>15</v>
      </c>
      <c r="G1" s="5" t="s">
        <v>18</v>
      </c>
      <c r="H1" s="5" t="s">
        <v>19</v>
      </c>
      <c r="I1" s="5" t="s">
        <v>20</v>
      </c>
      <c r="J1" s="5" t="s">
        <v>21</v>
      </c>
      <c r="K1" s="5" t="s">
        <v>23</v>
      </c>
      <c r="L1" s="5" t="s">
        <v>26</v>
      </c>
    </row>
    <row r="2">
      <c r="A2" s="15" t="s">
        <v>33</v>
      </c>
      <c r="B2" s="16" t="s">
        <v>39</v>
      </c>
      <c r="C2" s="16" t="s">
        <v>65</v>
      </c>
      <c r="D2" s="16">
        <v>19000.0</v>
      </c>
      <c r="E2" s="23" t="s">
        <v>70</v>
      </c>
      <c r="F2" s="23" t="s">
        <v>73</v>
      </c>
      <c r="G2" s="23" t="s">
        <v>75</v>
      </c>
      <c r="H2" s="23" t="s">
        <v>77</v>
      </c>
      <c r="I2" s="23" t="s">
        <v>78</v>
      </c>
      <c r="J2" s="23" t="s">
        <v>80</v>
      </c>
      <c r="K2" s="23" t="s">
        <v>81</v>
      </c>
      <c r="L2" s="23" t="s">
        <v>82</v>
      </c>
    </row>
    <row r="3">
      <c r="A3" s="15" t="s">
        <v>85</v>
      </c>
      <c r="B3" s="16" t="s">
        <v>86</v>
      </c>
      <c r="C3" s="16" t="s">
        <v>65</v>
      </c>
      <c r="D3" s="16">
        <v>11000.0</v>
      </c>
      <c r="E3" s="23" t="s">
        <v>91</v>
      </c>
      <c r="F3" s="23" t="s">
        <v>93</v>
      </c>
      <c r="G3" s="23" t="s">
        <v>94</v>
      </c>
      <c r="H3" s="23" t="s">
        <v>96</v>
      </c>
      <c r="I3" s="23" t="s">
        <v>99</v>
      </c>
      <c r="J3" s="23" t="s">
        <v>80</v>
      </c>
      <c r="K3" s="23" t="s">
        <v>81</v>
      </c>
      <c r="L3" s="30" t="s">
        <v>102</v>
      </c>
    </row>
    <row r="4">
      <c r="A4" s="15" t="s">
        <v>114</v>
      </c>
      <c r="B4" s="16" t="s">
        <v>115</v>
      </c>
      <c r="C4" s="16" t="s">
        <v>65</v>
      </c>
      <c r="D4" s="16">
        <v>19000.0</v>
      </c>
      <c r="E4" s="23" t="s">
        <v>117</v>
      </c>
      <c r="F4" s="23" t="s">
        <v>118</v>
      </c>
      <c r="G4" s="23" t="s">
        <v>119</v>
      </c>
      <c r="H4" s="23" t="s">
        <v>96</v>
      </c>
      <c r="I4" s="23" t="s">
        <v>120</v>
      </c>
      <c r="J4" s="23" t="s">
        <v>80</v>
      </c>
      <c r="K4" s="23" t="s">
        <v>81</v>
      </c>
      <c r="L4" s="30" t="s">
        <v>121</v>
      </c>
    </row>
    <row r="5">
      <c r="A5" s="15" t="s">
        <v>124</v>
      </c>
      <c r="B5" s="16" t="s">
        <v>125</v>
      </c>
      <c r="C5" s="16" t="s">
        <v>98</v>
      </c>
      <c r="D5" s="16">
        <v>41000.0</v>
      </c>
      <c r="E5" s="23" t="s">
        <v>126</v>
      </c>
      <c r="F5" s="23" t="s">
        <v>96</v>
      </c>
      <c r="G5" s="23" t="s">
        <v>127</v>
      </c>
      <c r="H5" s="23" t="s">
        <v>96</v>
      </c>
      <c r="I5" s="23" t="s">
        <v>99</v>
      </c>
      <c r="J5" s="23" t="s">
        <v>130</v>
      </c>
      <c r="K5" s="23" t="s">
        <v>131</v>
      </c>
      <c r="L5" s="30" t="s">
        <v>132</v>
      </c>
    </row>
    <row r="6">
      <c r="A6" s="15" t="s">
        <v>128</v>
      </c>
      <c r="B6" s="16" t="s">
        <v>129</v>
      </c>
      <c r="C6" s="16" t="s">
        <v>98</v>
      </c>
      <c r="D6" s="16">
        <v>41000.0</v>
      </c>
      <c r="E6" s="23" t="s">
        <v>135</v>
      </c>
      <c r="F6" s="23" t="s">
        <v>126</v>
      </c>
      <c r="G6" s="23" t="s">
        <v>136</v>
      </c>
      <c r="H6" s="23" t="s">
        <v>96</v>
      </c>
      <c r="I6" s="23" t="s">
        <v>137</v>
      </c>
      <c r="J6" s="23" t="s">
        <v>130</v>
      </c>
      <c r="K6" s="23" t="s">
        <v>96</v>
      </c>
      <c r="L6" s="30" t="s">
        <v>140</v>
      </c>
    </row>
    <row r="7">
      <c r="A7" s="15" t="s">
        <v>133</v>
      </c>
      <c r="B7" s="16" t="s">
        <v>134</v>
      </c>
      <c r="C7" s="16" t="s">
        <v>98</v>
      </c>
      <c r="D7" s="16">
        <v>41000.0</v>
      </c>
      <c r="E7" s="23" t="s">
        <v>143</v>
      </c>
      <c r="F7" s="23" t="s">
        <v>144</v>
      </c>
      <c r="G7" s="23" t="s">
        <v>145</v>
      </c>
      <c r="H7" s="23" t="s">
        <v>96</v>
      </c>
      <c r="I7" s="23" t="s">
        <v>147</v>
      </c>
      <c r="J7" s="23" t="s">
        <v>130</v>
      </c>
      <c r="K7" s="23" t="s">
        <v>149</v>
      </c>
      <c r="L7" s="30" t="s">
        <v>134</v>
      </c>
    </row>
    <row r="8">
      <c r="A8" s="15" t="s">
        <v>138</v>
      </c>
      <c r="B8" s="16" t="s">
        <v>139</v>
      </c>
      <c r="C8" s="16" t="s">
        <v>98</v>
      </c>
      <c r="D8" s="16">
        <v>41000.0</v>
      </c>
      <c r="E8" s="23" t="s">
        <v>126</v>
      </c>
      <c r="F8" s="23" t="s">
        <v>152</v>
      </c>
      <c r="G8" s="23" t="s">
        <v>155</v>
      </c>
      <c r="H8" s="23" t="s">
        <v>96</v>
      </c>
      <c r="I8" s="23" t="s">
        <v>156</v>
      </c>
      <c r="J8" s="23" t="s">
        <v>130</v>
      </c>
      <c r="K8" s="23" t="s">
        <v>126</v>
      </c>
      <c r="L8" s="30" t="s">
        <v>139</v>
      </c>
    </row>
    <row r="9">
      <c r="A9" s="15" t="s">
        <v>141</v>
      </c>
      <c r="B9" s="16" t="s">
        <v>142</v>
      </c>
      <c r="C9" s="16" t="s">
        <v>98</v>
      </c>
      <c r="D9" s="16">
        <v>33000.0</v>
      </c>
      <c r="E9" s="23" t="s">
        <v>126</v>
      </c>
      <c r="F9" s="23" t="s">
        <v>161</v>
      </c>
      <c r="G9" s="23" t="s">
        <v>162</v>
      </c>
      <c r="H9" s="23" t="s">
        <v>165</v>
      </c>
      <c r="I9" s="23" t="s">
        <v>167</v>
      </c>
      <c r="J9" s="23" t="s">
        <v>130</v>
      </c>
      <c r="K9" s="23" t="s">
        <v>96</v>
      </c>
      <c r="L9" s="30" t="s">
        <v>170</v>
      </c>
    </row>
    <row r="10">
      <c r="A10" s="15" t="s">
        <v>146</v>
      </c>
      <c r="B10" s="16" t="s">
        <v>148</v>
      </c>
      <c r="C10" s="16" t="s">
        <v>98</v>
      </c>
      <c r="D10" s="16">
        <v>29000.0</v>
      </c>
      <c r="E10" s="23" t="s">
        <v>126</v>
      </c>
      <c r="F10" s="23" t="s">
        <v>190</v>
      </c>
      <c r="G10" s="23" t="s">
        <v>193</v>
      </c>
      <c r="H10" s="23" t="s">
        <v>196</v>
      </c>
      <c r="I10" s="23" t="s">
        <v>127</v>
      </c>
      <c r="J10" s="23" t="s">
        <v>130</v>
      </c>
      <c r="K10" s="23" t="s">
        <v>126</v>
      </c>
      <c r="L10" s="30" t="s">
        <v>199</v>
      </c>
    </row>
    <row r="11">
      <c r="A11" s="15" t="s">
        <v>150</v>
      </c>
      <c r="B11" s="16" t="s">
        <v>151</v>
      </c>
      <c r="C11" s="16" t="s">
        <v>98</v>
      </c>
      <c r="D11" s="16">
        <v>28000.0</v>
      </c>
      <c r="E11" s="23" t="s">
        <v>205</v>
      </c>
      <c r="F11" s="23" t="s">
        <v>207</v>
      </c>
      <c r="G11" s="23" t="s">
        <v>208</v>
      </c>
      <c r="H11" s="23" t="s">
        <v>209</v>
      </c>
      <c r="I11" s="23" t="s">
        <v>210</v>
      </c>
      <c r="J11" s="23" t="s">
        <v>130</v>
      </c>
      <c r="K11" s="23" t="s">
        <v>96</v>
      </c>
      <c r="L11" s="30" t="s">
        <v>212</v>
      </c>
    </row>
    <row r="12">
      <c r="A12" s="15" t="s">
        <v>153</v>
      </c>
      <c r="B12" s="16" t="s">
        <v>154</v>
      </c>
      <c r="C12" s="16" t="s">
        <v>98</v>
      </c>
      <c r="D12" s="16">
        <v>27000.0</v>
      </c>
      <c r="E12" s="23" t="s">
        <v>216</v>
      </c>
      <c r="F12" s="23" t="s">
        <v>126</v>
      </c>
      <c r="G12" s="23" t="s">
        <v>217</v>
      </c>
      <c r="H12" s="23" t="s">
        <v>96</v>
      </c>
      <c r="I12" s="23" t="s">
        <v>220</v>
      </c>
      <c r="J12" s="23" t="s">
        <v>130</v>
      </c>
      <c r="K12" s="23" t="s">
        <v>126</v>
      </c>
      <c r="L12" s="30" t="s">
        <v>221</v>
      </c>
    </row>
    <row r="13">
      <c r="A13" s="15" t="s">
        <v>157</v>
      </c>
      <c r="B13" s="16" t="s">
        <v>158</v>
      </c>
      <c r="C13" s="16" t="s">
        <v>98</v>
      </c>
      <c r="D13" s="16">
        <v>27000.0</v>
      </c>
      <c r="E13" s="23" t="s">
        <v>226</v>
      </c>
      <c r="F13" s="23" t="s">
        <v>126</v>
      </c>
      <c r="G13" s="23" t="s">
        <v>227</v>
      </c>
      <c r="H13" s="23" t="s">
        <v>96</v>
      </c>
      <c r="I13" s="23" t="s">
        <v>230</v>
      </c>
      <c r="J13" s="23" t="s">
        <v>130</v>
      </c>
      <c r="K13" s="23" t="s">
        <v>96</v>
      </c>
      <c r="L13" s="30" t="s">
        <v>231</v>
      </c>
    </row>
    <row r="14">
      <c r="A14" s="15" t="s">
        <v>159</v>
      </c>
      <c r="B14" s="16" t="s">
        <v>160</v>
      </c>
      <c r="C14" s="16" t="s">
        <v>98</v>
      </c>
      <c r="D14" s="16">
        <v>18000.0</v>
      </c>
      <c r="E14" s="23" t="s">
        <v>205</v>
      </c>
      <c r="F14" s="23" t="s">
        <v>126</v>
      </c>
      <c r="G14" s="23" t="s">
        <v>236</v>
      </c>
      <c r="H14" s="23" t="s">
        <v>96</v>
      </c>
      <c r="I14" s="23" t="s">
        <v>237</v>
      </c>
      <c r="J14" s="23" t="s">
        <v>130</v>
      </c>
      <c r="K14" s="23" t="s">
        <v>126</v>
      </c>
      <c r="L14" s="30" t="s">
        <v>238</v>
      </c>
    </row>
    <row r="15" ht="16.5" customHeight="1">
      <c r="A15" s="15" t="s">
        <v>163</v>
      </c>
      <c r="B15" s="16" t="s">
        <v>164</v>
      </c>
      <c r="C15" s="16" t="s">
        <v>98</v>
      </c>
      <c r="D15" s="16">
        <v>17000.0</v>
      </c>
      <c r="E15" s="23" t="s">
        <v>239</v>
      </c>
      <c r="F15" s="23" t="s">
        <v>126</v>
      </c>
      <c r="G15" s="23" t="s">
        <v>240</v>
      </c>
      <c r="H15" s="23" t="s">
        <v>241</v>
      </c>
      <c r="I15" s="23" t="s">
        <v>242</v>
      </c>
      <c r="J15" s="23" t="s">
        <v>243</v>
      </c>
      <c r="K15" s="23" t="s">
        <v>244</v>
      </c>
      <c r="L15" s="39" t="s">
        <v>82</v>
      </c>
    </row>
    <row r="16">
      <c r="A16" s="15" t="s">
        <v>106</v>
      </c>
      <c r="B16" s="16" t="s">
        <v>109</v>
      </c>
      <c r="C16" s="16" t="s">
        <v>107</v>
      </c>
      <c r="D16" s="16">
        <v>20000.0</v>
      </c>
      <c r="E16" s="23" t="s">
        <v>130</v>
      </c>
      <c r="F16" s="23" t="s">
        <v>245</v>
      </c>
      <c r="G16" s="23" t="s">
        <v>119</v>
      </c>
      <c r="H16" s="23" t="s">
        <v>246</v>
      </c>
      <c r="I16" s="23" t="s">
        <v>96</v>
      </c>
      <c r="J16" s="23" t="s">
        <v>130</v>
      </c>
      <c r="K16" s="23" t="s">
        <v>96</v>
      </c>
      <c r="L16" s="30" t="s">
        <v>247</v>
      </c>
    </row>
    <row r="17">
      <c r="A17" s="15" t="s">
        <v>174</v>
      </c>
      <c r="B17" s="16" t="s">
        <v>175</v>
      </c>
      <c r="C17" s="16" t="s">
        <v>107</v>
      </c>
      <c r="D17" s="16">
        <v>43000.0</v>
      </c>
      <c r="E17" s="23" t="s">
        <v>248</v>
      </c>
      <c r="F17" s="23" t="s">
        <v>249</v>
      </c>
      <c r="G17" s="23" t="s">
        <v>250</v>
      </c>
      <c r="H17" s="23" t="s">
        <v>251</v>
      </c>
      <c r="I17" s="23" t="s">
        <v>252</v>
      </c>
      <c r="J17" s="23" t="s">
        <v>130</v>
      </c>
      <c r="K17" s="23" t="s">
        <v>130</v>
      </c>
      <c r="L17" s="30" t="s">
        <v>253</v>
      </c>
    </row>
    <row r="18" ht="15.0" customHeight="1">
      <c r="A18" s="15" t="s">
        <v>179</v>
      </c>
      <c r="B18" s="16" t="s">
        <v>181</v>
      </c>
      <c r="C18" s="16" t="s">
        <v>107</v>
      </c>
      <c r="D18" s="16">
        <v>33000.0</v>
      </c>
      <c r="E18" s="23" t="s">
        <v>254</v>
      </c>
      <c r="F18" s="23" t="s">
        <v>255</v>
      </c>
      <c r="G18" s="23" t="s">
        <v>256</v>
      </c>
      <c r="H18" s="23" t="s">
        <v>246</v>
      </c>
      <c r="I18" s="23" t="s">
        <v>96</v>
      </c>
      <c r="J18" s="23" t="s">
        <v>130</v>
      </c>
      <c r="K18" s="23" t="s">
        <v>96</v>
      </c>
      <c r="L18" s="40" t="s">
        <v>82</v>
      </c>
    </row>
    <row r="19">
      <c r="A19" s="15" t="s">
        <v>187</v>
      </c>
      <c r="B19" s="16" t="s">
        <v>189</v>
      </c>
      <c r="C19" s="16" t="s">
        <v>107</v>
      </c>
      <c r="D19" s="16">
        <v>13000.0</v>
      </c>
      <c r="E19" s="23" t="s">
        <v>257</v>
      </c>
      <c r="F19" s="23" t="s">
        <v>258</v>
      </c>
      <c r="G19" s="23" t="s">
        <v>259</v>
      </c>
      <c r="H19" s="23" t="s">
        <v>246</v>
      </c>
      <c r="I19" s="23" t="s">
        <v>252</v>
      </c>
      <c r="J19" s="23" t="s">
        <v>130</v>
      </c>
      <c r="K19" s="23" t="s">
        <v>96</v>
      </c>
      <c r="L19" s="30" t="s">
        <v>260</v>
      </c>
    </row>
    <row r="20">
      <c r="A20" s="15" t="s">
        <v>195</v>
      </c>
      <c r="B20" s="16" t="s">
        <v>197</v>
      </c>
      <c r="C20" s="16" t="s">
        <v>113</v>
      </c>
      <c r="D20" s="16">
        <v>70000.0</v>
      </c>
      <c r="E20" s="23" t="s">
        <v>205</v>
      </c>
      <c r="F20" s="23" t="s">
        <v>261</v>
      </c>
      <c r="G20" s="23" t="s">
        <v>262</v>
      </c>
      <c r="H20" s="23" t="s">
        <v>263</v>
      </c>
      <c r="I20" s="23" t="s">
        <v>264</v>
      </c>
      <c r="J20" s="23" t="s">
        <v>265</v>
      </c>
      <c r="K20" s="23" t="s">
        <v>266</v>
      </c>
      <c r="L20" s="30" t="s">
        <v>267</v>
      </c>
    </row>
    <row r="21">
      <c r="A21" s="15" t="s">
        <v>200</v>
      </c>
      <c r="B21" s="16" t="s">
        <v>201</v>
      </c>
      <c r="C21" s="16" t="s">
        <v>113</v>
      </c>
      <c r="D21" s="16">
        <v>54000.0</v>
      </c>
      <c r="E21" s="23" t="s">
        <v>135</v>
      </c>
      <c r="F21" s="23" t="s">
        <v>268</v>
      </c>
      <c r="G21" s="23" t="s">
        <v>269</v>
      </c>
      <c r="H21" s="23" t="s">
        <v>270</v>
      </c>
      <c r="I21" s="23" t="s">
        <v>271</v>
      </c>
      <c r="J21" s="23" t="s">
        <v>80</v>
      </c>
      <c r="K21" s="23" t="s">
        <v>266</v>
      </c>
      <c r="L21" s="30" t="s">
        <v>272</v>
      </c>
    </row>
    <row r="22">
      <c r="A22" s="15" t="s">
        <v>202</v>
      </c>
      <c r="B22" s="16" t="s">
        <v>203</v>
      </c>
      <c r="C22" s="16" t="s">
        <v>113</v>
      </c>
      <c r="D22" s="16">
        <v>54000.0</v>
      </c>
      <c r="E22" s="23" t="s">
        <v>273</v>
      </c>
      <c r="F22" s="23" t="s">
        <v>274</v>
      </c>
      <c r="G22" s="23" t="s">
        <v>275</v>
      </c>
      <c r="H22" s="23" t="s">
        <v>276</v>
      </c>
      <c r="I22" s="23" t="s">
        <v>277</v>
      </c>
      <c r="J22" s="23" t="s">
        <v>80</v>
      </c>
      <c r="K22" s="23" t="s">
        <v>278</v>
      </c>
      <c r="L22" s="30" t="s">
        <v>279</v>
      </c>
    </row>
    <row r="23">
      <c r="A23" s="15" t="s">
        <v>204</v>
      </c>
      <c r="B23" s="16" t="s">
        <v>206</v>
      </c>
      <c r="C23" s="16" t="s">
        <v>113</v>
      </c>
      <c r="D23" s="16">
        <v>50000.0</v>
      </c>
      <c r="E23" s="23" t="s">
        <v>135</v>
      </c>
      <c r="F23" s="23" t="s">
        <v>280</v>
      </c>
      <c r="G23" s="23" t="s">
        <v>259</v>
      </c>
      <c r="H23" s="23" t="s">
        <v>281</v>
      </c>
      <c r="I23" s="23" t="s">
        <v>282</v>
      </c>
      <c r="J23" s="23" t="s">
        <v>283</v>
      </c>
      <c r="K23" s="23" t="s">
        <v>284</v>
      </c>
      <c r="L23" s="30" t="s">
        <v>285</v>
      </c>
    </row>
    <row r="24">
      <c r="A24" s="15" t="s">
        <v>211</v>
      </c>
      <c r="B24" s="16" t="s">
        <v>213</v>
      </c>
      <c r="C24" s="16" t="s">
        <v>113</v>
      </c>
      <c r="D24" s="16">
        <v>47000.0</v>
      </c>
      <c r="E24" s="23" t="s">
        <v>286</v>
      </c>
      <c r="F24" s="23" t="s">
        <v>287</v>
      </c>
      <c r="G24" s="23" t="s">
        <v>288</v>
      </c>
      <c r="H24" s="23" t="s">
        <v>289</v>
      </c>
      <c r="I24" s="23" t="s">
        <v>290</v>
      </c>
      <c r="J24" s="23" t="s">
        <v>126</v>
      </c>
      <c r="K24" s="23" t="s">
        <v>291</v>
      </c>
      <c r="L24" s="30" t="s">
        <v>292</v>
      </c>
    </row>
    <row r="25">
      <c r="A25" s="15" t="s">
        <v>293</v>
      </c>
      <c r="B25" s="16" t="s">
        <v>294</v>
      </c>
      <c r="C25" s="16" t="s">
        <v>113</v>
      </c>
      <c r="D25" s="16">
        <v>46000.0</v>
      </c>
      <c r="E25" s="23" t="s">
        <v>295</v>
      </c>
      <c r="F25" s="23" t="s">
        <v>296</v>
      </c>
      <c r="G25" s="23" t="s">
        <v>297</v>
      </c>
      <c r="H25" s="23" t="s">
        <v>298</v>
      </c>
      <c r="I25" s="23" t="s">
        <v>299</v>
      </c>
      <c r="J25" s="23" t="s">
        <v>300</v>
      </c>
      <c r="K25" s="23" t="s">
        <v>301</v>
      </c>
      <c r="L25" s="30" t="s">
        <v>302</v>
      </c>
    </row>
    <row r="26">
      <c r="A26" s="15" t="s">
        <v>303</v>
      </c>
      <c r="B26" s="16" t="s">
        <v>304</v>
      </c>
      <c r="C26" s="16" t="s">
        <v>113</v>
      </c>
      <c r="D26" s="16">
        <v>46000.0</v>
      </c>
      <c r="E26" s="23" t="s">
        <v>205</v>
      </c>
      <c r="F26" s="23" t="s">
        <v>261</v>
      </c>
      <c r="G26" s="23" t="s">
        <v>305</v>
      </c>
      <c r="H26" s="23" t="s">
        <v>306</v>
      </c>
      <c r="I26" s="23" t="s">
        <v>307</v>
      </c>
      <c r="J26" s="23" t="s">
        <v>80</v>
      </c>
      <c r="K26" s="23" t="s">
        <v>308</v>
      </c>
      <c r="L26" s="30" t="s">
        <v>309</v>
      </c>
    </row>
    <row r="27">
      <c r="A27" s="15" t="s">
        <v>310</v>
      </c>
      <c r="B27" s="16" t="s">
        <v>311</v>
      </c>
      <c r="C27" s="16" t="s">
        <v>113</v>
      </c>
      <c r="D27" s="16">
        <v>36000.0</v>
      </c>
      <c r="E27" s="23" t="s">
        <v>126</v>
      </c>
      <c r="F27" s="23" t="s">
        <v>312</v>
      </c>
      <c r="G27" s="23" t="s">
        <v>313</v>
      </c>
      <c r="H27" s="23" t="s">
        <v>314</v>
      </c>
      <c r="I27" s="23" t="s">
        <v>315</v>
      </c>
      <c r="J27" s="23" t="s">
        <v>316</v>
      </c>
      <c r="K27" s="23" t="s">
        <v>317</v>
      </c>
      <c r="L27" s="30" t="s">
        <v>311</v>
      </c>
    </row>
    <row r="28">
      <c r="A28" s="15" t="s">
        <v>318</v>
      </c>
      <c r="B28" s="16" t="s">
        <v>319</v>
      </c>
      <c r="C28" s="16" t="s">
        <v>113</v>
      </c>
      <c r="D28" s="16">
        <v>24000.0</v>
      </c>
      <c r="E28" s="23" t="s">
        <v>320</v>
      </c>
      <c r="F28" s="23" t="s">
        <v>321</v>
      </c>
      <c r="G28" s="23" t="s">
        <v>322</v>
      </c>
      <c r="H28" s="23" t="s">
        <v>323</v>
      </c>
      <c r="I28" s="23" t="s">
        <v>324</v>
      </c>
      <c r="J28" s="23" t="s">
        <v>126</v>
      </c>
      <c r="K28" s="23" t="s">
        <v>325</v>
      </c>
      <c r="L28" s="30" t="s">
        <v>326</v>
      </c>
    </row>
    <row r="29">
      <c r="A29" s="15" t="s">
        <v>327</v>
      </c>
      <c r="B29" s="16" t="s">
        <v>328</v>
      </c>
      <c r="C29" s="16" t="s">
        <v>113</v>
      </c>
      <c r="D29" s="16">
        <v>24000.0</v>
      </c>
      <c r="E29" s="23" t="s">
        <v>135</v>
      </c>
      <c r="F29" s="23" t="s">
        <v>329</v>
      </c>
      <c r="G29" s="23" t="s">
        <v>330</v>
      </c>
      <c r="H29" s="23" t="s">
        <v>331</v>
      </c>
      <c r="I29" s="23" t="s">
        <v>332</v>
      </c>
      <c r="J29" s="23" t="s">
        <v>333</v>
      </c>
      <c r="K29" s="23" t="s">
        <v>334</v>
      </c>
      <c r="L29" s="30" t="s">
        <v>335</v>
      </c>
    </row>
    <row r="30">
      <c r="A30" s="15" t="s">
        <v>336</v>
      </c>
      <c r="B30" s="16" t="s">
        <v>337</v>
      </c>
      <c r="C30" s="16" t="s">
        <v>113</v>
      </c>
      <c r="D30" s="16">
        <v>21000.0</v>
      </c>
      <c r="E30" s="23" t="s">
        <v>135</v>
      </c>
      <c r="F30" s="23" t="s">
        <v>338</v>
      </c>
      <c r="G30" s="23" t="s">
        <v>339</v>
      </c>
      <c r="H30" s="23" t="s">
        <v>340</v>
      </c>
      <c r="I30" s="23" t="s">
        <v>341</v>
      </c>
      <c r="J30" s="23" t="s">
        <v>126</v>
      </c>
      <c r="K30" s="23" t="s">
        <v>342</v>
      </c>
      <c r="L30" s="30" t="s">
        <v>343</v>
      </c>
    </row>
    <row r="31">
      <c r="A31" s="15" t="s">
        <v>344</v>
      </c>
      <c r="B31" s="16" t="s">
        <v>345</v>
      </c>
      <c r="C31" s="16" t="s">
        <v>113</v>
      </c>
      <c r="D31" s="16">
        <v>18000.0</v>
      </c>
      <c r="E31" s="23" t="s">
        <v>126</v>
      </c>
      <c r="F31" s="23" t="s">
        <v>346</v>
      </c>
      <c r="G31" s="23" t="s">
        <v>347</v>
      </c>
      <c r="H31" s="23" t="s">
        <v>348</v>
      </c>
      <c r="I31" s="23" t="s">
        <v>349</v>
      </c>
      <c r="J31" s="23" t="s">
        <v>265</v>
      </c>
      <c r="K31" s="23" t="s">
        <v>350</v>
      </c>
      <c r="L31" s="30" t="s">
        <v>351</v>
      </c>
    </row>
    <row r="32">
      <c r="A32" s="15" t="s">
        <v>352</v>
      </c>
      <c r="B32" s="16" t="s">
        <v>353</v>
      </c>
      <c r="C32" s="16" t="s">
        <v>113</v>
      </c>
      <c r="D32" s="16">
        <v>18000.0</v>
      </c>
      <c r="E32" s="23" t="s">
        <v>205</v>
      </c>
      <c r="F32" s="23" t="s">
        <v>354</v>
      </c>
      <c r="G32" s="23" t="s">
        <v>355</v>
      </c>
      <c r="H32" s="23" t="s">
        <v>356</v>
      </c>
      <c r="I32" s="23" t="s">
        <v>357</v>
      </c>
      <c r="J32" s="23" t="s">
        <v>80</v>
      </c>
      <c r="K32" s="23" t="s">
        <v>358</v>
      </c>
      <c r="L32" s="30" t="s">
        <v>359</v>
      </c>
    </row>
    <row r="33">
      <c r="A33" s="15" t="s">
        <v>360</v>
      </c>
      <c r="B33" s="16" t="s">
        <v>361</v>
      </c>
      <c r="C33" s="16" t="s">
        <v>113</v>
      </c>
      <c r="D33" s="16">
        <v>15000.0</v>
      </c>
      <c r="E33" s="23" t="s">
        <v>205</v>
      </c>
      <c r="F33" s="23" t="s">
        <v>362</v>
      </c>
      <c r="G33" s="23" t="s">
        <v>363</v>
      </c>
      <c r="H33" s="23" t="s">
        <v>364</v>
      </c>
      <c r="I33" s="23" t="s">
        <v>365</v>
      </c>
      <c r="J33" s="23" t="s">
        <v>80</v>
      </c>
      <c r="K33" s="23" t="s">
        <v>362</v>
      </c>
      <c r="L33" s="30" t="s">
        <v>366</v>
      </c>
    </row>
    <row r="34">
      <c r="A34" s="15" t="s">
        <v>367</v>
      </c>
      <c r="B34" s="16" t="s">
        <v>368</v>
      </c>
      <c r="C34" s="16" t="s">
        <v>113</v>
      </c>
      <c r="D34" s="16">
        <v>14000.0</v>
      </c>
      <c r="E34" s="23" t="s">
        <v>205</v>
      </c>
      <c r="F34" s="23" t="s">
        <v>369</v>
      </c>
      <c r="G34" s="23" t="s">
        <v>370</v>
      </c>
      <c r="H34" s="23" t="s">
        <v>356</v>
      </c>
      <c r="I34" s="23" t="s">
        <v>99</v>
      </c>
      <c r="J34" s="23" t="s">
        <v>126</v>
      </c>
      <c r="K34" s="23" t="s">
        <v>371</v>
      </c>
      <c r="L34" s="30" t="s">
        <v>372</v>
      </c>
    </row>
    <row r="35">
      <c r="A35" s="15" t="s">
        <v>373</v>
      </c>
      <c r="B35" s="16" t="s">
        <v>374</v>
      </c>
      <c r="C35" s="16" t="s">
        <v>113</v>
      </c>
      <c r="D35" s="16">
        <v>14000.0</v>
      </c>
      <c r="E35" s="23" t="s">
        <v>205</v>
      </c>
      <c r="F35" s="23" t="s">
        <v>375</v>
      </c>
      <c r="G35" s="23" t="s">
        <v>259</v>
      </c>
      <c r="H35" s="23" t="s">
        <v>376</v>
      </c>
      <c r="I35" s="23" t="s">
        <v>377</v>
      </c>
      <c r="J35" s="23" t="s">
        <v>378</v>
      </c>
      <c r="K35" s="23" t="s">
        <v>317</v>
      </c>
      <c r="L35" s="30" t="s">
        <v>379</v>
      </c>
    </row>
    <row r="36">
      <c r="A36" s="15" t="s">
        <v>380</v>
      </c>
      <c r="B36" s="16" t="s">
        <v>381</v>
      </c>
      <c r="C36" s="16" t="s">
        <v>113</v>
      </c>
      <c r="D36" s="16">
        <v>12000.0</v>
      </c>
      <c r="E36" s="23" t="s">
        <v>126</v>
      </c>
      <c r="F36" s="23" t="s">
        <v>312</v>
      </c>
      <c r="G36" s="23" t="s">
        <v>382</v>
      </c>
      <c r="H36" s="23" t="s">
        <v>356</v>
      </c>
      <c r="I36" s="23" t="s">
        <v>307</v>
      </c>
      <c r="J36" s="23" t="s">
        <v>80</v>
      </c>
      <c r="K36" s="23" t="s">
        <v>383</v>
      </c>
      <c r="L36" s="30" t="s">
        <v>384</v>
      </c>
    </row>
    <row r="37" ht="15.75" customHeight="1">
      <c r="A37" s="15" t="s">
        <v>385</v>
      </c>
      <c r="B37" s="16" t="s">
        <v>386</v>
      </c>
      <c r="C37" s="16" t="s">
        <v>113</v>
      </c>
      <c r="D37" s="16">
        <v>12000.0</v>
      </c>
      <c r="E37" s="23" t="s">
        <v>387</v>
      </c>
      <c r="F37" s="23" t="s">
        <v>388</v>
      </c>
      <c r="G37" s="23" t="s">
        <v>389</v>
      </c>
      <c r="H37" s="23" t="s">
        <v>390</v>
      </c>
      <c r="I37" s="23" t="s">
        <v>308</v>
      </c>
      <c r="J37" s="23" t="s">
        <v>126</v>
      </c>
      <c r="K37" s="23" t="s">
        <v>391</v>
      </c>
      <c r="L37" s="30" t="s">
        <v>392</v>
      </c>
    </row>
    <row r="38">
      <c r="A38" s="15" t="s">
        <v>46</v>
      </c>
      <c r="B38" s="16" t="s">
        <v>51</v>
      </c>
      <c r="C38" s="16" t="s">
        <v>54</v>
      </c>
      <c r="D38" s="16">
        <v>42000.0</v>
      </c>
      <c r="E38" s="23" t="s">
        <v>393</v>
      </c>
      <c r="F38" s="23" t="s">
        <v>394</v>
      </c>
      <c r="G38" s="23" t="s">
        <v>395</v>
      </c>
      <c r="H38" s="23" t="s">
        <v>130</v>
      </c>
      <c r="I38" s="23" t="s">
        <v>396</v>
      </c>
      <c r="J38" s="23" t="s">
        <v>397</v>
      </c>
      <c r="K38" s="23" t="s">
        <v>397</v>
      </c>
      <c r="L38" s="30" t="s">
        <v>398</v>
      </c>
    </row>
    <row r="39" ht="16.5" customHeight="1">
      <c r="A39" s="15" t="s">
        <v>88</v>
      </c>
      <c r="B39" s="16" t="s">
        <v>90</v>
      </c>
      <c r="C39" s="16" t="s">
        <v>54</v>
      </c>
      <c r="D39" s="16">
        <v>15000.0</v>
      </c>
      <c r="E39" s="23" t="s">
        <v>399</v>
      </c>
      <c r="F39" s="23" t="s">
        <v>400</v>
      </c>
      <c r="G39" s="23" t="s">
        <v>401</v>
      </c>
      <c r="H39" s="23" t="s">
        <v>251</v>
      </c>
      <c r="I39" s="23" t="s">
        <v>308</v>
      </c>
      <c r="J39" s="23" t="s">
        <v>397</v>
      </c>
      <c r="K39" s="23" t="s">
        <v>402</v>
      </c>
      <c r="L39" s="30" t="s">
        <v>403</v>
      </c>
    </row>
    <row r="40">
      <c r="A40" s="15" t="s">
        <v>404</v>
      </c>
      <c r="B40" s="16" t="s">
        <v>405</v>
      </c>
      <c r="C40" s="16" t="s">
        <v>54</v>
      </c>
      <c r="D40" s="16">
        <v>49000.0</v>
      </c>
      <c r="E40" s="23" t="s">
        <v>406</v>
      </c>
      <c r="F40" s="23" t="s">
        <v>399</v>
      </c>
      <c r="G40" s="23" t="s">
        <v>407</v>
      </c>
      <c r="H40" s="23" t="s">
        <v>408</v>
      </c>
      <c r="I40" s="23" t="s">
        <v>137</v>
      </c>
      <c r="J40" s="23" t="s">
        <v>397</v>
      </c>
      <c r="K40" s="23" t="s">
        <v>96</v>
      </c>
      <c r="L40" s="30" t="s">
        <v>409</v>
      </c>
    </row>
    <row r="41">
      <c r="A41" s="15" t="s">
        <v>410</v>
      </c>
      <c r="B41" s="16" t="s">
        <v>411</v>
      </c>
      <c r="C41" s="16" t="s">
        <v>54</v>
      </c>
      <c r="D41" s="16">
        <v>46000.0</v>
      </c>
      <c r="E41" s="23" t="s">
        <v>399</v>
      </c>
      <c r="F41" s="23" t="s">
        <v>400</v>
      </c>
      <c r="G41" s="23" t="s">
        <v>412</v>
      </c>
      <c r="H41" s="23" t="s">
        <v>251</v>
      </c>
      <c r="I41" s="23" t="s">
        <v>413</v>
      </c>
      <c r="J41" s="23" t="s">
        <v>397</v>
      </c>
      <c r="K41" s="23" t="s">
        <v>96</v>
      </c>
      <c r="L41" s="30" t="s">
        <v>414</v>
      </c>
    </row>
    <row r="42">
      <c r="A42" s="15" t="s">
        <v>415</v>
      </c>
      <c r="B42" s="16" t="s">
        <v>215</v>
      </c>
      <c r="C42" s="16" t="s">
        <v>54</v>
      </c>
      <c r="D42" s="16">
        <v>41000.0</v>
      </c>
      <c r="E42" s="23" t="s">
        <v>416</v>
      </c>
      <c r="F42" s="23" t="s">
        <v>417</v>
      </c>
      <c r="G42" s="23" t="s">
        <v>418</v>
      </c>
      <c r="H42" s="23" t="s">
        <v>419</v>
      </c>
      <c r="I42" s="23" t="s">
        <v>420</v>
      </c>
      <c r="J42" s="23" t="s">
        <v>397</v>
      </c>
      <c r="K42" s="23" t="s">
        <v>244</v>
      </c>
      <c r="L42" s="30" t="s">
        <v>421</v>
      </c>
    </row>
    <row r="43">
      <c r="A43" s="15" t="s">
        <v>214</v>
      </c>
      <c r="B43" s="16" t="s">
        <v>422</v>
      </c>
      <c r="C43" s="16" t="s">
        <v>54</v>
      </c>
      <c r="D43" s="16">
        <v>38000.0</v>
      </c>
      <c r="E43" s="23" t="s">
        <v>406</v>
      </c>
      <c r="F43" s="23" t="s">
        <v>399</v>
      </c>
      <c r="G43" s="23" t="s">
        <v>423</v>
      </c>
      <c r="H43" s="23" t="s">
        <v>251</v>
      </c>
      <c r="I43" s="23" t="s">
        <v>424</v>
      </c>
      <c r="J43" s="23" t="s">
        <v>397</v>
      </c>
      <c r="K43" s="23" t="s">
        <v>399</v>
      </c>
      <c r="L43" s="30" t="s">
        <v>425</v>
      </c>
    </row>
    <row r="44">
      <c r="A44" s="15" t="s">
        <v>426</v>
      </c>
      <c r="B44" s="16" t="s">
        <v>427</v>
      </c>
      <c r="C44" s="16" t="s">
        <v>54</v>
      </c>
      <c r="D44" s="16">
        <v>35000.0</v>
      </c>
      <c r="E44" s="23" t="s">
        <v>399</v>
      </c>
      <c r="F44" s="23" t="s">
        <v>428</v>
      </c>
      <c r="G44" s="23" t="s">
        <v>429</v>
      </c>
      <c r="H44" s="23" t="s">
        <v>399</v>
      </c>
      <c r="I44" s="23" t="s">
        <v>428</v>
      </c>
      <c r="J44" s="23" t="s">
        <v>397</v>
      </c>
      <c r="K44" s="23" t="s">
        <v>406</v>
      </c>
      <c r="L44" s="30" t="s">
        <v>430</v>
      </c>
    </row>
    <row r="45">
      <c r="A45" s="15" t="s">
        <v>431</v>
      </c>
      <c r="B45" s="16" t="s">
        <v>432</v>
      </c>
      <c r="C45" s="16" t="s">
        <v>54</v>
      </c>
      <c r="D45" s="16">
        <v>33000.0</v>
      </c>
      <c r="E45" s="23" t="s">
        <v>433</v>
      </c>
      <c r="F45" s="23" t="s">
        <v>399</v>
      </c>
      <c r="G45" s="23" t="s">
        <v>434</v>
      </c>
      <c r="H45" s="23" t="s">
        <v>251</v>
      </c>
      <c r="I45" s="23" t="s">
        <v>435</v>
      </c>
      <c r="J45" s="23" t="s">
        <v>397</v>
      </c>
      <c r="K45" s="23" t="s">
        <v>96</v>
      </c>
      <c r="L45" s="30" t="s">
        <v>436</v>
      </c>
    </row>
    <row r="46">
      <c r="A46" s="15" t="s">
        <v>437</v>
      </c>
      <c r="B46" s="16" t="s">
        <v>438</v>
      </c>
      <c r="C46" s="16" t="s">
        <v>54</v>
      </c>
      <c r="D46" s="16">
        <v>28000.0</v>
      </c>
      <c r="E46" s="23" t="s">
        <v>406</v>
      </c>
      <c r="F46" s="23" t="s">
        <v>399</v>
      </c>
      <c r="G46" s="23" t="s">
        <v>119</v>
      </c>
      <c r="H46" s="23" t="s">
        <v>399</v>
      </c>
      <c r="I46" s="23" t="s">
        <v>308</v>
      </c>
      <c r="J46" s="23" t="s">
        <v>397</v>
      </c>
      <c r="K46" s="23" t="s">
        <v>399</v>
      </c>
      <c r="L46" s="30" t="s">
        <v>439</v>
      </c>
    </row>
    <row r="47">
      <c r="A47" s="15" t="s">
        <v>440</v>
      </c>
      <c r="B47" s="16" t="s">
        <v>441</v>
      </c>
      <c r="C47" s="16" t="s">
        <v>54</v>
      </c>
      <c r="D47" s="16">
        <v>25000.0</v>
      </c>
      <c r="E47" s="23" t="s">
        <v>399</v>
      </c>
      <c r="F47" s="23" t="s">
        <v>400</v>
      </c>
      <c r="G47" s="23" t="s">
        <v>442</v>
      </c>
      <c r="H47" s="23" t="s">
        <v>251</v>
      </c>
      <c r="I47" s="23" t="s">
        <v>443</v>
      </c>
      <c r="J47" s="23" t="s">
        <v>397</v>
      </c>
      <c r="K47" s="23" t="s">
        <v>96</v>
      </c>
      <c r="L47" s="23" t="s">
        <v>82</v>
      </c>
    </row>
    <row r="48">
      <c r="A48" s="15" t="s">
        <v>444</v>
      </c>
      <c r="B48" s="16" t="s">
        <v>219</v>
      </c>
      <c r="C48" s="16" t="s">
        <v>54</v>
      </c>
      <c r="D48" s="16">
        <v>24000.0</v>
      </c>
      <c r="E48" s="23" t="s">
        <v>445</v>
      </c>
      <c r="F48" s="23" t="s">
        <v>406</v>
      </c>
      <c r="G48" s="23" t="s">
        <v>446</v>
      </c>
      <c r="H48" s="23" t="s">
        <v>406</v>
      </c>
      <c r="I48" s="23" t="s">
        <v>447</v>
      </c>
      <c r="J48" s="23" t="s">
        <v>397</v>
      </c>
      <c r="K48" s="23" t="s">
        <v>406</v>
      </c>
      <c r="L48" s="30" t="s">
        <v>448</v>
      </c>
    </row>
    <row r="49">
      <c r="A49" s="15" t="s">
        <v>218</v>
      </c>
      <c r="B49" s="16" t="s">
        <v>449</v>
      </c>
      <c r="C49" s="16" t="s">
        <v>54</v>
      </c>
      <c r="D49" s="16">
        <v>23000.0</v>
      </c>
      <c r="E49" s="23" t="s">
        <v>450</v>
      </c>
      <c r="F49" s="23" t="s">
        <v>399</v>
      </c>
      <c r="G49" s="23" t="s">
        <v>451</v>
      </c>
      <c r="H49" s="23" t="s">
        <v>399</v>
      </c>
      <c r="I49" s="23" t="s">
        <v>400</v>
      </c>
      <c r="J49" s="23" t="s">
        <v>397</v>
      </c>
      <c r="K49" s="23" t="s">
        <v>96</v>
      </c>
      <c r="L49" s="30" t="s">
        <v>452</v>
      </c>
    </row>
    <row r="50">
      <c r="A50" s="15" t="s">
        <v>453</v>
      </c>
      <c r="B50" s="16" t="s">
        <v>454</v>
      </c>
      <c r="C50" s="16" t="s">
        <v>54</v>
      </c>
      <c r="D50" s="16">
        <v>21000.0</v>
      </c>
      <c r="E50" s="23" t="s">
        <v>406</v>
      </c>
      <c r="F50" s="23" t="s">
        <v>317</v>
      </c>
      <c r="G50" s="23" t="s">
        <v>455</v>
      </c>
      <c r="H50" s="23" t="s">
        <v>399</v>
      </c>
      <c r="I50" s="23" t="s">
        <v>399</v>
      </c>
      <c r="J50" s="23" t="s">
        <v>397</v>
      </c>
      <c r="K50" s="23" t="s">
        <v>399</v>
      </c>
      <c r="L50" s="30" t="s">
        <v>456</v>
      </c>
    </row>
    <row r="51">
      <c r="A51" s="15" t="s">
        <v>457</v>
      </c>
      <c r="B51" s="16" t="s">
        <v>458</v>
      </c>
      <c r="C51" s="16" t="s">
        <v>54</v>
      </c>
      <c r="D51" s="16">
        <v>19000.0</v>
      </c>
      <c r="E51" s="23" t="s">
        <v>406</v>
      </c>
      <c r="F51" s="23" t="s">
        <v>459</v>
      </c>
      <c r="G51" s="23" t="s">
        <v>460</v>
      </c>
      <c r="H51" s="23" t="s">
        <v>399</v>
      </c>
      <c r="I51" s="23" t="s">
        <v>399</v>
      </c>
      <c r="J51" s="23" t="s">
        <v>397</v>
      </c>
      <c r="K51" s="23" t="s">
        <v>399</v>
      </c>
      <c r="L51" s="30" t="s">
        <v>461</v>
      </c>
    </row>
    <row r="52">
      <c r="A52" s="15" t="s">
        <v>462</v>
      </c>
      <c r="B52" s="16" t="s">
        <v>463</v>
      </c>
      <c r="C52" s="16" t="s">
        <v>54</v>
      </c>
      <c r="D52" s="16">
        <v>15000.0</v>
      </c>
      <c r="E52" s="23" t="s">
        <v>399</v>
      </c>
      <c r="F52" s="23" t="s">
        <v>400</v>
      </c>
      <c r="G52" s="23" t="s">
        <v>355</v>
      </c>
      <c r="H52" s="23" t="s">
        <v>251</v>
      </c>
      <c r="I52" s="23" t="s">
        <v>400</v>
      </c>
      <c r="J52" s="23" t="s">
        <v>397</v>
      </c>
      <c r="K52" s="23" t="s">
        <v>96</v>
      </c>
      <c r="L52" s="30" t="s">
        <v>464</v>
      </c>
    </row>
    <row r="53">
      <c r="A53" s="15" t="s">
        <v>465</v>
      </c>
      <c r="B53" s="16" t="s">
        <v>466</v>
      </c>
      <c r="C53" s="16" t="s">
        <v>54</v>
      </c>
      <c r="D53" s="16">
        <v>12000.0</v>
      </c>
      <c r="E53" s="23" t="s">
        <v>399</v>
      </c>
      <c r="F53" s="23" t="s">
        <v>400</v>
      </c>
      <c r="G53" s="23" t="s">
        <v>467</v>
      </c>
      <c r="H53" s="23" t="s">
        <v>251</v>
      </c>
      <c r="I53" s="23" t="s">
        <v>400</v>
      </c>
      <c r="J53" s="23" t="s">
        <v>397</v>
      </c>
      <c r="K53" s="23" t="s">
        <v>96</v>
      </c>
      <c r="L53" s="30" t="s">
        <v>468</v>
      </c>
    </row>
    <row r="54" ht="15.75" customHeight="1">
      <c r="A54" s="15" t="s">
        <v>469</v>
      </c>
      <c r="B54" s="16" t="s">
        <v>470</v>
      </c>
      <c r="C54" s="16" t="s">
        <v>54</v>
      </c>
      <c r="D54" s="16">
        <v>10000.0</v>
      </c>
      <c r="E54" s="23" t="s">
        <v>406</v>
      </c>
      <c r="F54" s="23" t="s">
        <v>471</v>
      </c>
      <c r="G54" s="23" t="s">
        <v>472</v>
      </c>
      <c r="H54" s="23" t="s">
        <v>399</v>
      </c>
      <c r="I54" s="23" t="s">
        <v>473</v>
      </c>
      <c r="J54" s="23" t="s">
        <v>397</v>
      </c>
      <c r="K54" s="23" t="s">
        <v>406</v>
      </c>
      <c r="L54" s="30" t="s">
        <v>474</v>
      </c>
    </row>
    <row r="55">
      <c r="A55" s="15" t="s">
        <v>475</v>
      </c>
      <c r="B55" s="16" t="s">
        <v>223</v>
      </c>
      <c r="C55" s="16" t="s">
        <v>54</v>
      </c>
      <c r="D55" s="16">
        <v>10000.0</v>
      </c>
      <c r="E55" s="23" t="s">
        <v>445</v>
      </c>
      <c r="F55" s="23" t="s">
        <v>399</v>
      </c>
      <c r="G55" s="23" t="s">
        <v>476</v>
      </c>
      <c r="H55" s="23" t="s">
        <v>251</v>
      </c>
      <c r="I55" s="23" t="s">
        <v>400</v>
      </c>
      <c r="J55" s="23" t="s">
        <v>397</v>
      </c>
      <c r="K55" s="23" t="s">
        <v>96</v>
      </c>
      <c r="L55" s="30" t="s">
        <v>477</v>
      </c>
    </row>
    <row r="56">
      <c r="A56" s="15" t="s">
        <v>478</v>
      </c>
      <c r="B56" s="16" t="s">
        <v>479</v>
      </c>
      <c r="C56" s="16" t="s">
        <v>54</v>
      </c>
      <c r="D56" s="16">
        <v>6300.0</v>
      </c>
      <c r="E56" s="23" t="s">
        <v>406</v>
      </c>
      <c r="F56" s="23" t="s">
        <v>399</v>
      </c>
      <c r="G56" s="23" t="s">
        <v>480</v>
      </c>
      <c r="H56" s="23" t="s">
        <v>399</v>
      </c>
      <c r="I56" s="23" t="s">
        <v>400</v>
      </c>
      <c r="J56" s="23" t="s">
        <v>397</v>
      </c>
      <c r="K56" s="23" t="s">
        <v>96</v>
      </c>
      <c r="L56" s="30" t="s">
        <v>481</v>
      </c>
    </row>
    <row r="57">
      <c r="A57" s="15" t="s">
        <v>222</v>
      </c>
      <c r="B57" s="16" t="s">
        <v>482</v>
      </c>
      <c r="C57" s="16" t="s">
        <v>54</v>
      </c>
      <c r="D57" s="16">
        <v>5000.0</v>
      </c>
      <c r="E57" s="23" t="s">
        <v>399</v>
      </c>
      <c r="F57" s="23" t="s">
        <v>400</v>
      </c>
      <c r="G57" s="23" t="s">
        <v>483</v>
      </c>
      <c r="H57" s="23" t="s">
        <v>399</v>
      </c>
      <c r="I57" s="23" t="s">
        <v>400</v>
      </c>
      <c r="J57" s="23" t="s">
        <v>397</v>
      </c>
      <c r="K57" s="23" t="s">
        <v>96</v>
      </c>
      <c r="L57" s="30" t="s">
        <v>482</v>
      </c>
    </row>
    <row r="58">
      <c r="A58" s="15" t="s">
        <v>484</v>
      </c>
      <c r="B58" s="16" t="s">
        <v>485</v>
      </c>
      <c r="C58" s="16" t="s">
        <v>54</v>
      </c>
      <c r="D58" s="16">
        <v>4800.0</v>
      </c>
      <c r="E58" s="23" t="s">
        <v>486</v>
      </c>
      <c r="F58" s="23" t="s">
        <v>400</v>
      </c>
      <c r="G58" s="23" t="s">
        <v>487</v>
      </c>
      <c r="H58" s="23" t="s">
        <v>251</v>
      </c>
      <c r="I58" s="23" t="s">
        <v>400</v>
      </c>
      <c r="J58" s="23" t="s">
        <v>397</v>
      </c>
      <c r="K58" s="23" t="s">
        <v>96</v>
      </c>
      <c r="L58" s="30" t="s">
        <v>488</v>
      </c>
    </row>
    <row r="59">
      <c r="A59" s="15" t="s">
        <v>489</v>
      </c>
      <c r="B59" s="16" t="s">
        <v>490</v>
      </c>
      <c r="C59" s="16" t="s">
        <v>54</v>
      </c>
      <c r="D59" s="16">
        <v>3200.0</v>
      </c>
      <c r="E59" s="23" t="s">
        <v>399</v>
      </c>
      <c r="F59" s="23" t="s">
        <v>400</v>
      </c>
      <c r="G59" s="23" t="s">
        <v>491</v>
      </c>
      <c r="H59" s="23" t="s">
        <v>400</v>
      </c>
      <c r="I59" s="23" t="s">
        <v>400</v>
      </c>
      <c r="J59" s="23" t="s">
        <v>397</v>
      </c>
      <c r="K59" s="23" t="s">
        <v>96</v>
      </c>
      <c r="L59" s="30" t="s">
        <v>492</v>
      </c>
    </row>
    <row r="60">
      <c r="A60" s="15" t="s">
        <v>493</v>
      </c>
      <c r="B60" s="16" t="s">
        <v>494</v>
      </c>
      <c r="C60" s="16" t="s">
        <v>54</v>
      </c>
      <c r="D60" s="16">
        <v>2600.0</v>
      </c>
      <c r="E60" s="23" t="s">
        <v>486</v>
      </c>
      <c r="F60" s="23" t="s">
        <v>400</v>
      </c>
      <c r="G60" s="23" t="s">
        <v>495</v>
      </c>
      <c r="H60" s="23" t="s">
        <v>400</v>
      </c>
      <c r="I60" s="23" t="s">
        <v>400</v>
      </c>
      <c r="J60" s="23" t="s">
        <v>397</v>
      </c>
      <c r="K60" s="23" t="s">
        <v>400</v>
      </c>
      <c r="L60" s="30" t="s">
        <v>496</v>
      </c>
    </row>
    <row r="61">
      <c r="A61" s="15" t="s">
        <v>497</v>
      </c>
      <c r="B61" s="16" t="s">
        <v>498</v>
      </c>
      <c r="C61" s="16" t="s">
        <v>116</v>
      </c>
      <c r="D61" s="16">
        <v>68000.0</v>
      </c>
      <c r="E61" s="23" t="s">
        <v>273</v>
      </c>
      <c r="F61" s="23" t="s">
        <v>93</v>
      </c>
      <c r="G61" s="23" t="s">
        <v>499</v>
      </c>
      <c r="H61" s="23" t="s">
        <v>500</v>
      </c>
      <c r="I61" s="23" t="s">
        <v>315</v>
      </c>
      <c r="J61" s="23" t="s">
        <v>397</v>
      </c>
      <c r="K61" s="23" t="s">
        <v>342</v>
      </c>
      <c r="L61" s="30" t="s">
        <v>501</v>
      </c>
    </row>
    <row r="62">
      <c r="A62" s="15" t="s">
        <v>502</v>
      </c>
      <c r="B62" s="16" t="s">
        <v>503</v>
      </c>
      <c r="C62" s="16" t="s">
        <v>116</v>
      </c>
      <c r="D62" s="16">
        <v>64000.0</v>
      </c>
      <c r="E62" s="23" t="s">
        <v>126</v>
      </c>
      <c r="F62" s="23" t="s">
        <v>93</v>
      </c>
      <c r="G62" s="23" t="s">
        <v>407</v>
      </c>
      <c r="H62" s="23" t="s">
        <v>504</v>
      </c>
      <c r="I62" s="23" t="s">
        <v>505</v>
      </c>
      <c r="J62" s="23" t="s">
        <v>397</v>
      </c>
      <c r="K62" s="23" t="s">
        <v>506</v>
      </c>
      <c r="L62" s="30" t="s">
        <v>507</v>
      </c>
    </row>
    <row r="63">
      <c r="A63" s="15" t="s">
        <v>508</v>
      </c>
      <c r="B63" s="16" t="s">
        <v>509</v>
      </c>
      <c r="C63" s="16" t="s">
        <v>116</v>
      </c>
      <c r="D63" s="16">
        <v>43000.0</v>
      </c>
      <c r="E63" s="23" t="s">
        <v>126</v>
      </c>
      <c r="F63" s="23" t="s">
        <v>428</v>
      </c>
      <c r="G63" s="23" t="s">
        <v>510</v>
      </c>
      <c r="H63" s="23" t="s">
        <v>511</v>
      </c>
      <c r="I63" s="23" t="s">
        <v>512</v>
      </c>
      <c r="J63" s="23" t="s">
        <v>397</v>
      </c>
      <c r="K63" s="23" t="s">
        <v>428</v>
      </c>
      <c r="L63" s="30" t="s">
        <v>513</v>
      </c>
    </row>
    <row r="64">
      <c r="A64" s="15" t="s">
        <v>514</v>
      </c>
      <c r="B64" s="16" t="s">
        <v>225</v>
      </c>
      <c r="C64" s="16" t="s">
        <v>116</v>
      </c>
      <c r="D64" s="16">
        <v>39000.0</v>
      </c>
      <c r="E64" s="23" t="s">
        <v>126</v>
      </c>
      <c r="F64" s="23" t="s">
        <v>515</v>
      </c>
      <c r="G64" s="23" t="s">
        <v>516</v>
      </c>
      <c r="H64" s="23" t="s">
        <v>517</v>
      </c>
      <c r="I64" s="23" t="s">
        <v>315</v>
      </c>
      <c r="J64" s="23" t="s">
        <v>397</v>
      </c>
      <c r="K64" s="23" t="s">
        <v>428</v>
      </c>
      <c r="L64" s="30" t="s">
        <v>518</v>
      </c>
    </row>
    <row r="65">
      <c r="A65" s="15" t="s">
        <v>519</v>
      </c>
      <c r="B65" s="16" t="s">
        <v>520</v>
      </c>
      <c r="C65" s="16" t="s">
        <v>116</v>
      </c>
      <c r="D65" s="16">
        <v>34000.0</v>
      </c>
      <c r="E65" s="23" t="s">
        <v>126</v>
      </c>
      <c r="F65" s="23" t="s">
        <v>521</v>
      </c>
      <c r="G65" s="23" t="s">
        <v>522</v>
      </c>
      <c r="H65" s="23" t="s">
        <v>523</v>
      </c>
      <c r="I65" s="23" t="s">
        <v>317</v>
      </c>
      <c r="J65" s="23" t="s">
        <v>397</v>
      </c>
      <c r="K65" s="23" t="s">
        <v>317</v>
      </c>
      <c r="L65" s="30" t="s">
        <v>524</v>
      </c>
    </row>
    <row r="66">
      <c r="A66" s="15" t="s">
        <v>224</v>
      </c>
      <c r="B66" s="16" t="s">
        <v>525</v>
      </c>
      <c r="C66" s="16" t="s">
        <v>116</v>
      </c>
      <c r="D66" s="16">
        <v>26000.0</v>
      </c>
      <c r="E66" s="23" t="s">
        <v>126</v>
      </c>
      <c r="F66" s="23" t="s">
        <v>526</v>
      </c>
      <c r="G66" s="23" t="s">
        <v>527</v>
      </c>
      <c r="H66" s="23" t="s">
        <v>528</v>
      </c>
      <c r="I66" s="23" t="s">
        <v>529</v>
      </c>
      <c r="J66" s="23" t="s">
        <v>397</v>
      </c>
      <c r="K66" s="23" t="s">
        <v>530</v>
      </c>
      <c r="L66" s="30" t="s">
        <v>531</v>
      </c>
    </row>
    <row r="67">
      <c r="A67" s="15" t="s">
        <v>532</v>
      </c>
      <c r="B67" s="16" t="s">
        <v>533</v>
      </c>
      <c r="C67" s="16" t="s">
        <v>116</v>
      </c>
      <c r="D67" s="16">
        <v>24000.0</v>
      </c>
      <c r="E67" s="23" t="s">
        <v>273</v>
      </c>
      <c r="F67" s="23" t="s">
        <v>443</v>
      </c>
      <c r="G67" s="23" t="s">
        <v>534</v>
      </c>
      <c r="H67" s="23" t="s">
        <v>535</v>
      </c>
      <c r="I67" s="23" t="s">
        <v>307</v>
      </c>
      <c r="J67" s="23" t="s">
        <v>397</v>
      </c>
      <c r="K67" s="23" t="s">
        <v>536</v>
      </c>
      <c r="L67" s="30" t="s">
        <v>537</v>
      </c>
    </row>
    <row r="68">
      <c r="A68" s="15" t="s">
        <v>538</v>
      </c>
      <c r="B68" s="16" t="s">
        <v>539</v>
      </c>
      <c r="C68" s="16" t="s">
        <v>116</v>
      </c>
      <c r="D68" s="16">
        <v>24000.0</v>
      </c>
      <c r="E68" s="23" t="s">
        <v>126</v>
      </c>
      <c r="F68" s="23" t="s">
        <v>540</v>
      </c>
      <c r="G68" s="23" t="s">
        <v>541</v>
      </c>
      <c r="H68" s="23" t="s">
        <v>542</v>
      </c>
      <c r="I68" s="23" t="s">
        <v>543</v>
      </c>
      <c r="J68" s="23" t="s">
        <v>397</v>
      </c>
      <c r="K68" s="23" t="s">
        <v>544</v>
      </c>
      <c r="L68" s="30" t="s">
        <v>545</v>
      </c>
    </row>
    <row r="69">
      <c r="A69" s="15" t="s">
        <v>546</v>
      </c>
      <c r="B69" s="16" t="s">
        <v>547</v>
      </c>
      <c r="C69" s="16" t="s">
        <v>116</v>
      </c>
      <c r="D69" s="16">
        <v>19000.0</v>
      </c>
      <c r="E69" s="23" t="s">
        <v>135</v>
      </c>
      <c r="F69" s="23" t="s">
        <v>548</v>
      </c>
      <c r="G69" s="23" t="s">
        <v>549</v>
      </c>
      <c r="H69" s="23" t="s">
        <v>550</v>
      </c>
      <c r="I69" s="23" t="s">
        <v>315</v>
      </c>
      <c r="J69" s="23" t="s">
        <v>397</v>
      </c>
      <c r="K69" s="23" t="s">
        <v>551</v>
      </c>
      <c r="L69" s="30" t="s">
        <v>552</v>
      </c>
    </row>
    <row r="70">
      <c r="A70" s="15" t="s">
        <v>553</v>
      </c>
      <c r="B70" s="16" t="s">
        <v>554</v>
      </c>
      <c r="C70" s="16" t="s">
        <v>116</v>
      </c>
      <c r="D70" s="16">
        <v>19000.0</v>
      </c>
      <c r="E70" s="23" t="s">
        <v>126</v>
      </c>
      <c r="F70" s="23" t="s">
        <v>555</v>
      </c>
      <c r="G70" s="23" t="s">
        <v>556</v>
      </c>
      <c r="H70" s="23" t="s">
        <v>557</v>
      </c>
      <c r="I70" s="23" t="s">
        <v>558</v>
      </c>
      <c r="J70" s="23" t="s">
        <v>397</v>
      </c>
      <c r="K70" s="23" t="s">
        <v>559</v>
      </c>
      <c r="L70" s="30" t="s">
        <v>554</v>
      </c>
    </row>
    <row r="71">
      <c r="A71" s="15" t="s">
        <v>560</v>
      </c>
      <c r="B71" s="16" t="s">
        <v>561</v>
      </c>
      <c r="C71" s="16" t="s">
        <v>116</v>
      </c>
      <c r="D71" s="16">
        <v>18000.0</v>
      </c>
      <c r="E71" s="23" t="s">
        <v>126</v>
      </c>
      <c r="F71" s="23" t="s">
        <v>562</v>
      </c>
      <c r="G71" s="23" t="s">
        <v>563</v>
      </c>
      <c r="H71" s="23" t="s">
        <v>564</v>
      </c>
      <c r="I71" s="23" t="s">
        <v>565</v>
      </c>
      <c r="J71" s="23" t="s">
        <v>397</v>
      </c>
      <c r="K71" s="23" t="s">
        <v>291</v>
      </c>
      <c r="L71" s="30" t="s">
        <v>566</v>
      </c>
    </row>
    <row r="72">
      <c r="A72" s="15" t="s">
        <v>567</v>
      </c>
      <c r="B72" s="16" t="s">
        <v>568</v>
      </c>
      <c r="C72" s="16" t="s">
        <v>116</v>
      </c>
      <c r="D72" s="16">
        <v>17000.0</v>
      </c>
      <c r="E72" s="23" t="s">
        <v>126</v>
      </c>
      <c r="F72" s="23" t="s">
        <v>569</v>
      </c>
      <c r="G72" s="23" t="s">
        <v>407</v>
      </c>
      <c r="H72" s="23" t="s">
        <v>570</v>
      </c>
      <c r="I72" s="23" t="s">
        <v>571</v>
      </c>
      <c r="J72" s="23" t="s">
        <v>397</v>
      </c>
      <c r="K72" s="23" t="s">
        <v>572</v>
      </c>
      <c r="L72" s="30" t="s">
        <v>573</v>
      </c>
    </row>
    <row r="73">
      <c r="A73" s="15" t="s">
        <v>574</v>
      </c>
      <c r="B73" s="16" t="s">
        <v>575</v>
      </c>
      <c r="C73" s="16" t="s">
        <v>116</v>
      </c>
      <c r="D73" s="16">
        <v>16000.0</v>
      </c>
      <c r="E73" s="23" t="s">
        <v>126</v>
      </c>
      <c r="F73" s="23" t="s">
        <v>576</v>
      </c>
      <c r="G73" s="23" t="s">
        <v>577</v>
      </c>
      <c r="H73" s="23" t="s">
        <v>578</v>
      </c>
      <c r="I73" s="23" t="s">
        <v>315</v>
      </c>
      <c r="J73" s="23" t="s">
        <v>397</v>
      </c>
      <c r="K73" s="23" t="s">
        <v>140</v>
      </c>
      <c r="L73" s="30" t="s">
        <v>579</v>
      </c>
    </row>
    <row r="74">
      <c r="A74" s="15" t="s">
        <v>580</v>
      </c>
      <c r="B74" s="16" t="s">
        <v>581</v>
      </c>
      <c r="C74" s="16" t="s">
        <v>116</v>
      </c>
      <c r="D74" s="16">
        <v>14000.0</v>
      </c>
      <c r="E74" s="23" t="s">
        <v>126</v>
      </c>
      <c r="F74" s="23" t="s">
        <v>582</v>
      </c>
      <c r="G74" s="23" t="s">
        <v>583</v>
      </c>
      <c r="H74" s="23" t="s">
        <v>528</v>
      </c>
      <c r="I74" s="23" t="s">
        <v>584</v>
      </c>
      <c r="J74" s="23" t="s">
        <v>397</v>
      </c>
      <c r="K74" s="23" t="s">
        <v>585</v>
      </c>
      <c r="L74" s="30" t="s">
        <v>586</v>
      </c>
    </row>
    <row r="75">
      <c r="A75" s="15" t="s">
        <v>587</v>
      </c>
      <c r="B75" s="16" t="s">
        <v>588</v>
      </c>
      <c r="C75" s="16" t="s">
        <v>116</v>
      </c>
      <c r="D75" s="16">
        <v>13000.0</v>
      </c>
      <c r="E75" s="23" t="s">
        <v>126</v>
      </c>
      <c r="F75" s="23" t="s">
        <v>526</v>
      </c>
      <c r="G75" s="23" t="s">
        <v>589</v>
      </c>
      <c r="H75" s="23" t="s">
        <v>590</v>
      </c>
      <c r="I75" s="23" t="s">
        <v>591</v>
      </c>
      <c r="J75" s="23" t="s">
        <v>397</v>
      </c>
      <c r="K75" s="23" t="s">
        <v>592</v>
      </c>
      <c r="L75" s="30" t="s">
        <v>593</v>
      </c>
    </row>
    <row r="76">
      <c r="A76" s="15" t="s">
        <v>594</v>
      </c>
      <c r="B76" s="16" t="s">
        <v>595</v>
      </c>
      <c r="C76" s="16" t="s">
        <v>116</v>
      </c>
      <c r="D76" s="16">
        <v>13000.0</v>
      </c>
      <c r="E76" s="23" t="s">
        <v>126</v>
      </c>
      <c r="F76" s="23" t="s">
        <v>596</v>
      </c>
      <c r="G76" s="23" t="s">
        <v>597</v>
      </c>
      <c r="H76" s="23" t="s">
        <v>598</v>
      </c>
      <c r="I76" s="23" t="s">
        <v>315</v>
      </c>
      <c r="J76" s="23" t="s">
        <v>397</v>
      </c>
      <c r="K76" s="23" t="s">
        <v>315</v>
      </c>
      <c r="L76" s="30" t="s">
        <v>599</v>
      </c>
    </row>
    <row r="77">
      <c r="A77" s="15" t="s">
        <v>600</v>
      </c>
      <c r="B77" s="16" t="s">
        <v>601</v>
      </c>
      <c r="C77" s="16" t="s">
        <v>116</v>
      </c>
      <c r="D77" s="16">
        <v>13000.0</v>
      </c>
      <c r="E77" s="23" t="s">
        <v>126</v>
      </c>
      <c r="F77" s="23" t="s">
        <v>602</v>
      </c>
      <c r="G77" s="23" t="s">
        <v>603</v>
      </c>
      <c r="H77" s="23" t="s">
        <v>604</v>
      </c>
      <c r="I77" s="23" t="s">
        <v>565</v>
      </c>
      <c r="J77" s="23" t="s">
        <v>397</v>
      </c>
      <c r="K77" s="23" t="s">
        <v>605</v>
      </c>
      <c r="L77" s="30" t="s">
        <v>606</v>
      </c>
    </row>
    <row r="78">
      <c r="A78" s="15" t="s">
        <v>607</v>
      </c>
      <c r="B78" s="16" t="s">
        <v>608</v>
      </c>
      <c r="C78" s="16" t="s">
        <v>116</v>
      </c>
      <c r="D78" s="16">
        <v>10000.0</v>
      </c>
      <c r="E78" s="23" t="s">
        <v>126</v>
      </c>
      <c r="F78" s="23" t="s">
        <v>609</v>
      </c>
      <c r="G78" s="23" t="s">
        <v>610</v>
      </c>
      <c r="H78" s="23" t="s">
        <v>500</v>
      </c>
      <c r="I78" s="23" t="s">
        <v>307</v>
      </c>
      <c r="J78" s="23" t="s">
        <v>397</v>
      </c>
      <c r="K78" s="23" t="s">
        <v>140</v>
      </c>
      <c r="L78" s="30" t="s">
        <v>611</v>
      </c>
    </row>
    <row r="79">
      <c r="A79" s="15" t="s">
        <v>612</v>
      </c>
      <c r="B79" s="16" t="s">
        <v>613</v>
      </c>
      <c r="C79" s="16" t="s">
        <v>116</v>
      </c>
      <c r="D79" s="16">
        <v>10000.0</v>
      </c>
      <c r="E79" s="23" t="s">
        <v>126</v>
      </c>
      <c r="F79" s="23" t="s">
        <v>614</v>
      </c>
      <c r="G79" s="23" t="s">
        <v>615</v>
      </c>
      <c r="H79" s="23" t="s">
        <v>251</v>
      </c>
      <c r="I79" s="23" t="s">
        <v>616</v>
      </c>
      <c r="J79" s="23" t="s">
        <v>397</v>
      </c>
      <c r="K79" s="23" t="s">
        <v>617</v>
      </c>
      <c r="L79" s="30" t="s">
        <v>613</v>
      </c>
    </row>
    <row r="80">
      <c r="A80" s="15" t="s">
        <v>618</v>
      </c>
      <c r="B80" s="16" t="s">
        <v>229</v>
      </c>
      <c r="C80" s="16" t="s">
        <v>116</v>
      </c>
      <c r="D80" s="16">
        <v>9000.0</v>
      </c>
      <c r="E80" s="23" t="s">
        <v>619</v>
      </c>
      <c r="F80" s="23" t="s">
        <v>620</v>
      </c>
      <c r="G80" s="23" t="s">
        <v>621</v>
      </c>
      <c r="H80" s="23" t="s">
        <v>622</v>
      </c>
      <c r="I80" s="23" t="s">
        <v>623</v>
      </c>
      <c r="J80" s="23" t="s">
        <v>397</v>
      </c>
      <c r="K80" s="23" t="s">
        <v>624</v>
      </c>
      <c r="L80" s="30" t="s">
        <v>229</v>
      </c>
    </row>
    <row r="81">
      <c r="A81" s="15" t="s">
        <v>625</v>
      </c>
      <c r="B81" s="16" t="s">
        <v>626</v>
      </c>
      <c r="C81" s="16" t="s">
        <v>116</v>
      </c>
      <c r="D81" s="16">
        <v>8000.0</v>
      </c>
      <c r="E81" s="23" t="s">
        <v>126</v>
      </c>
      <c r="F81" s="23" t="s">
        <v>369</v>
      </c>
      <c r="G81" s="23" t="s">
        <v>627</v>
      </c>
      <c r="H81" s="23" t="s">
        <v>628</v>
      </c>
      <c r="I81" s="23" t="s">
        <v>565</v>
      </c>
      <c r="J81" s="23" t="s">
        <v>397</v>
      </c>
      <c r="K81" s="23" t="s">
        <v>140</v>
      </c>
      <c r="L81" s="30" t="s">
        <v>629</v>
      </c>
    </row>
    <row r="82">
      <c r="A82" s="15" t="s">
        <v>228</v>
      </c>
      <c r="B82" s="16" t="s">
        <v>630</v>
      </c>
      <c r="C82" s="16" t="s">
        <v>122</v>
      </c>
      <c r="D82" s="16">
        <v>38000.0</v>
      </c>
      <c r="E82" s="23" t="s">
        <v>126</v>
      </c>
      <c r="F82" s="23" t="s">
        <v>369</v>
      </c>
      <c r="G82" s="23" t="s">
        <v>631</v>
      </c>
      <c r="H82" s="23" t="s">
        <v>632</v>
      </c>
      <c r="I82" s="23" t="s">
        <v>633</v>
      </c>
      <c r="J82" s="23" t="s">
        <v>397</v>
      </c>
      <c r="K82" s="23" t="s">
        <v>342</v>
      </c>
      <c r="L82" s="30" t="s">
        <v>634</v>
      </c>
    </row>
    <row r="83">
      <c r="A83" s="15" t="s">
        <v>635</v>
      </c>
      <c r="B83" s="16" t="s">
        <v>233</v>
      </c>
      <c r="C83" s="16" t="s">
        <v>122</v>
      </c>
      <c r="D83" s="16">
        <v>37000.0</v>
      </c>
      <c r="E83" s="23" t="s">
        <v>126</v>
      </c>
      <c r="F83" s="23" t="s">
        <v>596</v>
      </c>
      <c r="G83" s="23" t="s">
        <v>530</v>
      </c>
      <c r="H83" s="23" t="s">
        <v>636</v>
      </c>
      <c r="I83" s="23" t="s">
        <v>637</v>
      </c>
      <c r="J83" s="23" t="s">
        <v>397</v>
      </c>
      <c r="K83" s="23" t="s">
        <v>317</v>
      </c>
      <c r="L83" s="30" t="s">
        <v>638</v>
      </c>
    </row>
    <row r="84">
      <c r="A84" s="15" t="s">
        <v>639</v>
      </c>
      <c r="B84" s="16" t="s">
        <v>235</v>
      </c>
      <c r="C84" s="16" t="s">
        <v>122</v>
      </c>
      <c r="D84" s="16">
        <v>37000.0</v>
      </c>
      <c r="E84" s="23" t="s">
        <v>126</v>
      </c>
      <c r="F84" s="23" t="s">
        <v>640</v>
      </c>
      <c r="G84" s="23" t="s">
        <v>641</v>
      </c>
      <c r="H84" s="23" t="s">
        <v>642</v>
      </c>
      <c r="I84" s="23" t="s">
        <v>643</v>
      </c>
      <c r="J84" s="23" t="s">
        <v>397</v>
      </c>
      <c r="K84" s="23" t="s">
        <v>642</v>
      </c>
      <c r="L84" s="30" t="s">
        <v>644</v>
      </c>
    </row>
    <row r="85">
      <c r="A85" s="15" t="s">
        <v>232</v>
      </c>
      <c r="B85" s="16" t="s">
        <v>645</v>
      </c>
      <c r="C85" s="16" t="s">
        <v>122</v>
      </c>
      <c r="D85" s="16">
        <v>15000.0</v>
      </c>
      <c r="E85" s="23" t="s">
        <v>126</v>
      </c>
      <c r="F85" s="23" t="s">
        <v>646</v>
      </c>
      <c r="G85" s="23" t="s">
        <v>647</v>
      </c>
      <c r="H85" s="23" t="s">
        <v>648</v>
      </c>
      <c r="I85" s="23" t="s">
        <v>308</v>
      </c>
      <c r="J85" s="23" t="s">
        <v>397</v>
      </c>
      <c r="K85" s="23" t="s">
        <v>649</v>
      </c>
      <c r="L85" s="30" t="s">
        <v>650</v>
      </c>
    </row>
    <row r="86">
      <c r="A86" s="15" t="s">
        <v>234</v>
      </c>
      <c r="B86" s="16" t="s">
        <v>651</v>
      </c>
      <c r="C86" s="16" t="s">
        <v>122</v>
      </c>
      <c r="D86" s="16">
        <v>14000.0</v>
      </c>
      <c r="E86" s="23" t="s">
        <v>273</v>
      </c>
      <c r="F86" s="23" t="s">
        <v>652</v>
      </c>
      <c r="G86" s="23" t="s">
        <v>653</v>
      </c>
      <c r="H86" s="23" t="s">
        <v>654</v>
      </c>
      <c r="I86" s="23" t="s">
        <v>307</v>
      </c>
      <c r="J86" s="23" t="s">
        <v>397</v>
      </c>
      <c r="K86" s="23" t="s">
        <v>308</v>
      </c>
      <c r="L86" s="30" t="s">
        <v>655</v>
      </c>
    </row>
    <row r="87">
      <c r="A87" s="15" t="s">
        <v>656</v>
      </c>
      <c r="B87" s="16" t="s">
        <v>657</v>
      </c>
      <c r="C87" s="16" t="s">
        <v>122</v>
      </c>
      <c r="D87" s="16">
        <v>12000.0</v>
      </c>
      <c r="E87" s="23" t="s">
        <v>126</v>
      </c>
      <c r="F87" s="23" t="s">
        <v>658</v>
      </c>
      <c r="G87" s="23" t="s">
        <v>659</v>
      </c>
      <c r="H87" s="23" t="s">
        <v>660</v>
      </c>
      <c r="I87" s="23" t="s">
        <v>661</v>
      </c>
      <c r="J87" s="23" t="s">
        <v>397</v>
      </c>
      <c r="K87" s="23" t="s">
        <v>662</v>
      </c>
      <c r="L87" s="30" t="s">
        <v>663</v>
      </c>
    </row>
  </sheetData>
  <dataValidations>
    <dataValidation type="list" allowBlank="1" showErrorMessage="1" sqref="C2:C87">
      <formula1>"Primera,Segunda,Tercera,Cuarta,Quinta,Sexta,Séptima"</formula1>
    </dataValidation>
  </dataValidations>
  <hyperlinks>
    <hyperlink r:id="rId1" ref="L3"/>
    <hyperlink r:id="rId2" ref="L4"/>
    <hyperlink r:id="rId3" ref="L5"/>
    <hyperlink r:id="rId4" ref="L6"/>
    <hyperlink r:id="rId5" ref="L7"/>
    <hyperlink r:id="rId6" ref="L8"/>
    <hyperlink r:id="rId7" ref="L9"/>
    <hyperlink r:id="rId8" ref="L10"/>
    <hyperlink r:id="rId9" ref="L11"/>
    <hyperlink r:id="rId10" ref="L12"/>
    <hyperlink r:id="rId11" ref="L13"/>
    <hyperlink r:id="rId12" ref="L14"/>
    <hyperlink r:id="rId13" ref="L16"/>
    <hyperlink r:id="rId14" ref="L17"/>
    <hyperlink r:id="rId15" ref="L19"/>
    <hyperlink r:id="rId16" ref="L20"/>
    <hyperlink r:id="rId17" ref="L21"/>
    <hyperlink r:id="rId18" ref="L22"/>
    <hyperlink r:id="rId19" ref="L23"/>
    <hyperlink r:id="rId20" ref="L24"/>
    <hyperlink r:id="rId21" ref="L25"/>
    <hyperlink r:id="rId22" ref="L26"/>
    <hyperlink r:id="rId23" ref="L27"/>
    <hyperlink r:id="rId24" ref="L28"/>
    <hyperlink r:id="rId25" ref="L29"/>
    <hyperlink r:id="rId26" ref="L30"/>
    <hyperlink r:id="rId27" ref="L31"/>
    <hyperlink r:id="rId28" ref="L32"/>
    <hyperlink r:id="rId29" ref="L33"/>
    <hyperlink r:id="rId30" ref="L34"/>
    <hyperlink r:id="rId31" ref="L35"/>
    <hyperlink r:id="rId32" ref="L36"/>
    <hyperlink r:id="rId33" ref="L37"/>
    <hyperlink r:id="rId34" ref="L38"/>
    <hyperlink r:id="rId35" ref="L39"/>
    <hyperlink r:id="rId36" ref="L40"/>
    <hyperlink r:id="rId37" ref="L41"/>
    <hyperlink r:id="rId38" ref="L42"/>
    <hyperlink r:id="rId39" ref="L43"/>
    <hyperlink r:id="rId40" ref="L44"/>
    <hyperlink r:id="rId41" ref="L45"/>
    <hyperlink r:id="rId42" ref="L46"/>
    <hyperlink r:id="rId43" ref="L48"/>
    <hyperlink r:id="rId44" ref="L49"/>
    <hyperlink r:id="rId45" ref="L50"/>
    <hyperlink r:id="rId46" ref="L51"/>
    <hyperlink r:id="rId47" ref="L52"/>
    <hyperlink r:id="rId48" ref="L53"/>
    <hyperlink r:id="rId49" ref="L54"/>
    <hyperlink r:id="rId50" ref="L55"/>
    <hyperlink r:id="rId51" ref="L56"/>
    <hyperlink r:id="rId52" ref="L57"/>
    <hyperlink r:id="rId53" ref="L58"/>
    <hyperlink r:id="rId54" ref="L59"/>
    <hyperlink r:id="rId55" ref="L60"/>
    <hyperlink r:id="rId56" ref="L61"/>
    <hyperlink r:id="rId57" ref="L62"/>
    <hyperlink r:id="rId58" ref="L63"/>
    <hyperlink r:id="rId59" ref="L64"/>
    <hyperlink r:id="rId60" ref="L65"/>
    <hyperlink r:id="rId61" ref="L66"/>
    <hyperlink r:id="rId62" ref="L67"/>
    <hyperlink r:id="rId63" ref="L68"/>
    <hyperlink r:id="rId64" ref="L69"/>
    <hyperlink r:id="rId65" ref="L70"/>
    <hyperlink r:id="rId66" ref="L71"/>
    <hyperlink r:id="rId67" ref="L72"/>
    <hyperlink r:id="rId68" ref="L73"/>
    <hyperlink r:id="rId69" ref="L74"/>
    <hyperlink r:id="rId70" ref="L75"/>
    <hyperlink r:id="rId71" ref="L76"/>
    <hyperlink r:id="rId72" ref="L77"/>
    <hyperlink r:id="rId73" ref="L78"/>
    <hyperlink r:id="rId74" ref="L79"/>
    <hyperlink r:id="rId75" ref="L80"/>
    <hyperlink r:id="rId76" ref="L81"/>
    <hyperlink r:id="rId77" ref="L82"/>
    <hyperlink r:id="rId78" ref="L83"/>
    <hyperlink r:id="rId79" ref="L84"/>
    <hyperlink r:id="rId80" ref="L85"/>
    <hyperlink r:id="rId81" ref="L86"/>
    <hyperlink r:id="rId82" ref="L87"/>
  </hyperlinks>
  <drawing r:id="rId83"/>
  <tableParts count="1">
    <tablePart r:id="rId85"/>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63"/>
    <col customWidth="1" min="2" max="2" width="37.63"/>
    <col customWidth="1" min="3" max="3" width="43.88"/>
    <col customWidth="1" min="4" max="4" width="45.75"/>
    <col customWidth="1" min="5" max="5" width="40.63"/>
  </cols>
  <sheetData>
    <row r="1">
      <c r="B1" s="1" t="s">
        <v>0</v>
      </c>
    </row>
    <row r="2">
      <c r="B2" s="2"/>
      <c r="C2" s="2"/>
      <c r="D2" s="2"/>
      <c r="E2" s="2"/>
    </row>
    <row r="3">
      <c r="B3" s="3" t="s">
        <v>1</v>
      </c>
      <c r="C3" s="3" t="s">
        <v>4</v>
      </c>
      <c r="D3" s="3" t="s">
        <v>5</v>
      </c>
      <c r="E3" s="3" t="s">
        <v>6</v>
      </c>
    </row>
    <row r="4">
      <c r="B4" s="6" t="s">
        <v>7</v>
      </c>
      <c r="C4" s="9" t="s">
        <v>12</v>
      </c>
      <c r="D4" s="9" t="s">
        <v>22</v>
      </c>
      <c r="E4" s="9" t="s">
        <v>24</v>
      </c>
    </row>
    <row r="5">
      <c r="B5" s="11" t="s">
        <v>27</v>
      </c>
      <c r="C5" s="13" t="s">
        <v>30</v>
      </c>
      <c r="D5" s="13" t="s">
        <v>34</v>
      </c>
      <c r="E5" s="13" t="s">
        <v>36</v>
      </c>
    </row>
    <row r="6">
      <c r="B6" s="6" t="s">
        <v>37</v>
      </c>
      <c r="C6" s="9" t="s">
        <v>40</v>
      </c>
      <c r="D6" s="9" t="s">
        <v>42</v>
      </c>
      <c r="E6" s="9" t="s">
        <v>44</v>
      </c>
    </row>
    <row r="7">
      <c r="B7" s="11" t="s">
        <v>45</v>
      </c>
      <c r="C7" s="13" t="s">
        <v>47</v>
      </c>
      <c r="D7" s="13" t="s">
        <v>49</v>
      </c>
      <c r="E7" s="13" t="s">
        <v>52</v>
      </c>
    </row>
    <row r="8">
      <c r="B8" s="6" t="s">
        <v>55</v>
      </c>
      <c r="C8" s="9" t="s">
        <v>57</v>
      </c>
      <c r="D8" s="9" t="s">
        <v>59</v>
      </c>
      <c r="E8" s="9" t="s">
        <v>61</v>
      </c>
    </row>
    <row r="9">
      <c r="B9" s="2"/>
      <c r="C9" s="2"/>
      <c r="D9" s="2"/>
      <c r="E9" s="2"/>
    </row>
    <row r="10">
      <c r="B10" s="21" t="s">
        <v>66</v>
      </c>
    </row>
    <row r="11">
      <c r="B11" s="22" t="s">
        <v>69</v>
      </c>
    </row>
    <row r="12">
      <c r="B12" s="22" t="s">
        <v>71</v>
      </c>
    </row>
    <row r="13">
      <c r="B13" s="22" t="s">
        <v>72</v>
      </c>
    </row>
    <row r="14">
      <c r="B14" s="22" t="s">
        <v>74</v>
      </c>
    </row>
    <row r="15">
      <c r="B15" s="22" t="s">
        <v>76</v>
      </c>
    </row>
    <row r="16">
      <c r="B16" s="22" t="s">
        <v>79</v>
      </c>
    </row>
    <row r="17">
      <c r="B17" s="2"/>
      <c r="C17" s="2"/>
      <c r="D17" s="2"/>
      <c r="E17" s="2"/>
    </row>
    <row r="18">
      <c r="B18" s="21" t="s">
        <v>83</v>
      </c>
    </row>
    <row r="19">
      <c r="B19" s="27" t="s">
        <v>84</v>
      </c>
    </row>
    <row r="20">
      <c r="B20" s="27" t="s">
        <v>87</v>
      </c>
    </row>
    <row r="21">
      <c r="B21" s="27" t="s">
        <v>89</v>
      </c>
    </row>
    <row r="22">
      <c r="B22" s="2"/>
      <c r="C22" s="2"/>
      <c r="D22" s="2"/>
      <c r="E22" s="2"/>
    </row>
    <row r="23">
      <c r="B23" s="21" t="s">
        <v>92</v>
      </c>
    </row>
    <row r="24">
      <c r="B24" s="27" t="s">
        <v>95</v>
      </c>
    </row>
    <row r="25">
      <c r="B25" s="27" t="s">
        <v>97</v>
      </c>
    </row>
    <row r="26">
      <c r="B26" s="27" t="s">
        <v>100</v>
      </c>
    </row>
    <row r="27">
      <c r="B27" s="2"/>
      <c r="C27" s="2"/>
      <c r="D27" s="2"/>
      <c r="E27" s="2"/>
    </row>
    <row r="28">
      <c r="B28" s="21" t="s">
        <v>101</v>
      </c>
    </row>
    <row r="29">
      <c r="B29" s="22" t="s">
        <v>103</v>
      </c>
    </row>
    <row r="30">
      <c r="B30" s="22" t="s">
        <v>104</v>
      </c>
    </row>
    <row r="31">
      <c r="B31" s="22" t="s">
        <v>105</v>
      </c>
    </row>
    <row r="32">
      <c r="B32" s="22" t="s">
        <v>108</v>
      </c>
    </row>
    <row r="33">
      <c r="B33" s="22" t="s">
        <v>110</v>
      </c>
    </row>
    <row r="34">
      <c r="B34" s="22" t="s">
        <v>111</v>
      </c>
    </row>
    <row r="35">
      <c r="B35" s="22" t="s">
        <v>112</v>
      </c>
    </row>
  </sheetData>
  <mergeCells count="24">
    <mergeCell ref="B1:E1"/>
    <mergeCell ref="B10:E10"/>
    <mergeCell ref="B11:E11"/>
    <mergeCell ref="B12:E12"/>
    <mergeCell ref="B13:E13"/>
    <mergeCell ref="B14:E14"/>
    <mergeCell ref="B15:E15"/>
    <mergeCell ref="B16:E16"/>
    <mergeCell ref="B18:E18"/>
    <mergeCell ref="B19:E19"/>
    <mergeCell ref="B20:E20"/>
    <mergeCell ref="B21:E21"/>
    <mergeCell ref="B23:E23"/>
    <mergeCell ref="B24:E24"/>
    <mergeCell ref="B33:E33"/>
    <mergeCell ref="B34:E34"/>
    <mergeCell ref="B35:E35"/>
    <mergeCell ref="B25:E25"/>
    <mergeCell ref="B26:E26"/>
    <mergeCell ref="B28:E28"/>
    <mergeCell ref="B29:E29"/>
    <mergeCell ref="B30:E30"/>
    <mergeCell ref="B31:E31"/>
    <mergeCell ref="B32:E32"/>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7.0" topLeftCell="A8" activePane="bottomLeft" state="frozen"/>
      <selection activeCell="B9" sqref="B9" pane="bottomLeft"/>
    </sheetView>
  </sheetViews>
  <sheetFormatPr customHeight="1" defaultColWidth="12.63" defaultRowHeight="15.75"/>
  <cols>
    <col customWidth="1" min="1" max="1" width="30.63"/>
    <col customWidth="1" min="2" max="2" width="28.88"/>
    <col customWidth="1" min="3" max="3" width="18.0"/>
    <col customWidth="1" min="4" max="4" width="26.25"/>
    <col customWidth="1" min="5" max="5" width="6.75"/>
    <col customWidth="1" min="6" max="6" width="7.38"/>
    <col customWidth="1" min="7" max="7" width="6.63"/>
    <col customWidth="1" min="8" max="8" width="6.88"/>
    <col customWidth="1" min="9" max="9" width="6.63"/>
    <col customWidth="1" min="10" max="10" width="14.25"/>
    <col customWidth="1" min="11" max="11" width="15.13"/>
  </cols>
  <sheetData>
    <row r="1">
      <c r="A1" s="4" t="s">
        <v>2</v>
      </c>
    </row>
    <row r="3">
      <c r="A3" s="7" t="s">
        <v>8</v>
      </c>
      <c r="B3" s="7" t="s">
        <v>14</v>
      </c>
      <c r="C3" s="7" t="s">
        <v>16</v>
      </c>
      <c r="D3" s="7" t="s">
        <v>17</v>
      </c>
    </row>
    <row r="4">
      <c r="A4" s="10">
        <v>2299900.0</v>
      </c>
      <c r="B4" s="12">
        <v>32743.6</v>
      </c>
      <c r="C4" s="14">
        <v>0.524</v>
      </c>
      <c r="D4" s="14">
        <v>0.95</v>
      </c>
      <c r="E4" s="17"/>
      <c r="F4" s="17"/>
      <c r="G4" s="17"/>
      <c r="H4" s="17"/>
      <c r="I4" s="17"/>
    </row>
    <row r="7" ht="29.25" customHeight="1">
      <c r="A7" s="8" t="s">
        <v>48</v>
      </c>
      <c r="B7" s="8" t="s">
        <v>50</v>
      </c>
      <c r="C7" s="8" t="s">
        <v>53</v>
      </c>
      <c r="D7" s="8" t="s">
        <v>56</v>
      </c>
      <c r="E7" s="8" t="s">
        <v>58</v>
      </c>
      <c r="F7" s="8" t="s">
        <v>60</v>
      </c>
      <c r="G7" s="8" t="s">
        <v>62</v>
      </c>
      <c r="H7" s="8" t="s">
        <v>63</v>
      </c>
      <c r="I7" s="8" t="s">
        <v>64</v>
      </c>
      <c r="J7" s="8" t="s">
        <v>67</v>
      </c>
      <c r="K7" s="8" t="s">
        <v>68</v>
      </c>
    </row>
    <row r="8">
      <c r="A8" s="18" t="s">
        <v>65</v>
      </c>
      <c r="B8" s="24">
        <v>3.0</v>
      </c>
      <c r="C8" s="25">
        <v>49000.0</v>
      </c>
      <c r="D8" s="28">
        <v>0.57</v>
      </c>
      <c r="E8" s="28">
        <v>0.72</v>
      </c>
      <c r="F8" s="28">
        <v>0.827</v>
      </c>
      <c r="G8" s="28">
        <v>0.893</v>
      </c>
      <c r="H8" s="28">
        <v>0.937</v>
      </c>
      <c r="I8" s="28">
        <v>0.95</v>
      </c>
      <c r="J8" s="20">
        <v>0.43</v>
      </c>
      <c r="K8" s="29">
        <v>655.65</v>
      </c>
    </row>
    <row r="9">
      <c r="A9" s="18" t="s">
        <v>98</v>
      </c>
      <c r="B9" s="24">
        <v>11.0</v>
      </c>
      <c r="C9" s="25">
        <v>343000.0</v>
      </c>
      <c r="D9" s="28">
        <v>0.562</v>
      </c>
      <c r="E9" s="28">
        <v>0.715</v>
      </c>
      <c r="F9" s="28">
        <v>0.825</v>
      </c>
      <c r="G9" s="28">
        <v>0.892</v>
      </c>
      <c r="H9" s="28">
        <v>0.936</v>
      </c>
      <c r="I9" s="28">
        <v>0.95</v>
      </c>
      <c r="J9" s="20">
        <v>0.438</v>
      </c>
      <c r="K9" s="29">
        <v>4986.04</v>
      </c>
    </row>
    <row r="10">
      <c r="A10" s="18" t="s">
        <v>107</v>
      </c>
      <c r="B10" s="24">
        <v>4.0</v>
      </c>
      <c r="C10" s="25">
        <v>109000.0</v>
      </c>
      <c r="D10" s="28">
        <v>0.545</v>
      </c>
      <c r="E10" s="28">
        <v>0.704</v>
      </c>
      <c r="F10" s="28">
        <v>0.818</v>
      </c>
      <c r="G10" s="28">
        <v>0.889</v>
      </c>
      <c r="H10" s="28">
        <v>0.934</v>
      </c>
      <c r="I10" s="28">
        <v>0.95</v>
      </c>
      <c r="J10" s="20">
        <v>0.455</v>
      </c>
      <c r="K10" s="29">
        <v>1458.86</v>
      </c>
    </row>
    <row r="11">
      <c r="A11" s="18" t="s">
        <v>113</v>
      </c>
      <c r="B11" s="24">
        <v>18.0</v>
      </c>
      <c r="C11" s="25">
        <v>575000.0</v>
      </c>
      <c r="D11" s="28">
        <v>0.53</v>
      </c>
      <c r="E11" s="28">
        <v>0.695</v>
      </c>
      <c r="F11" s="28">
        <v>0.812</v>
      </c>
      <c r="G11" s="28">
        <v>0.886</v>
      </c>
      <c r="H11" s="28">
        <v>0.932</v>
      </c>
      <c r="I11" s="28">
        <v>0.95</v>
      </c>
      <c r="J11" s="20">
        <v>0.47</v>
      </c>
      <c r="K11" s="29">
        <v>7873.07</v>
      </c>
    </row>
    <row r="12">
      <c r="A12" s="18" t="s">
        <v>54</v>
      </c>
      <c r="B12" s="24">
        <v>23.0</v>
      </c>
      <c r="C12" s="25">
        <v>569900.0</v>
      </c>
      <c r="D12" s="28">
        <v>0.527</v>
      </c>
      <c r="E12" s="28">
        <v>0.693</v>
      </c>
      <c r="F12" s="28">
        <v>0.811</v>
      </c>
      <c r="G12" s="28">
        <v>0.885</v>
      </c>
      <c r="H12" s="28">
        <v>0.931</v>
      </c>
      <c r="I12" s="28">
        <v>0.95</v>
      </c>
      <c r="J12" s="20">
        <v>0.473</v>
      </c>
      <c r="K12" s="29">
        <v>8018.93</v>
      </c>
    </row>
    <row r="13">
      <c r="A13" s="18" t="s">
        <v>116</v>
      </c>
      <c r="B13" s="24">
        <v>21.0</v>
      </c>
      <c r="C13" s="25">
        <v>501000.0</v>
      </c>
      <c r="D13" s="28">
        <v>0.489</v>
      </c>
      <c r="E13" s="28">
        <v>0.668</v>
      </c>
      <c r="F13" s="28">
        <v>0.796</v>
      </c>
      <c r="G13" s="28">
        <v>0.878</v>
      </c>
      <c r="H13" s="28">
        <v>0.926</v>
      </c>
      <c r="I13" s="28">
        <v>0.95</v>
      </c>
      <c r="J13" s="20">
        <v>0.511</v>
      </c>
      <c r="K13" s="29">
        <v>7796.19</v>
      </c>
    </row>
    <row r="14">
      <c r="A14" s="18" t="s">
        <v>122</v>
      </c>
      <c r="B14" s="24">
        <v>6.0</v>
      </c>
      <c r="C14" s="25">
        <v>153000.0</v>
      </c>
      <c r="D14" s="28">
        <v>0.545</v>
      </c>
      <c r="E14" s="28">
        <v>0.704</v>
      </c>
      <c r="F14" s="28">
        <v>0.818</v>
      </c>
      <c r="G14" s="28">
        <v>0.889</v>
      </c>
      <c r="H14" s="28">
        <v>0.934</v>
      </c>
      <c r="I14" s="28">
        <v>0.95</v>
      </c>
      <c r="J14" s="20">
        <v>0.455</v>
      </c>
      <c r="K14" s="29">
        <v>1954.86</v>
      </c>
    </row>
    <row r="15">
      <c r="A15" s="31" t="s">
        <v>123</v>
      </c>
      <c r="B15" s="32">
        <f>SUM(B8:B14)</f>
        <v>86</v>
      </c>
      <c r="C15" s="33">
        <v>2299900.0</v>
      </c>
      <c r="D15" s="34">
        <v>0.524</v>
      </c>
      <c r="E15" s="34">
        <v>0.691</v>
      </c>
      <c r="F15" s="34">
        <v>0.81</v>
      </c>
      <c r="G15" s="34">
        <v>0.884</v>
      </c>
      <c r="H15" s="34">
        <v>0.931</v>
      </c>
      <c r="I15" s="34">
        <v>0.95</v>
      </c>
      <c r="J15" s="35">
        <v>0.476</v>
      </c>
      <c r="K15" s="36">
        <v>32743.6</v>
      </c>
    </row>
  </sheetData>
  <mergeCells count="3">
    <mergeCell ref="A1:K1"/>
    <mergeCell ref="D3:I3"/>
    <mergeCell ref="D4:I4"/>
  </mergeCells>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4.0"/>
    <col customWidth="1" min="2" max="2" width="17.75"/>
    <col customWidth="1" min="3" max="3" width="11.13"/>
    <col customWidth="1" min="4" max="4" width="10.38"/>
    <col customWidth="1" min="5" max="5" width="14.38"/>
    <col customWidth="1" min="6" max="10" width="7.38"/>
    <col customWidth="1" min="11" max="11" width="15.13"/>
    <col customWidth="1" min="12" max="12" width="19.63"/>
  </cols>
  <sheetData>
    <row r="1">
      <c r="A1" s="8" t="s">
        <v>3</v>
      </c>
      <c r="B1" s="8" t="s">
        <v>9</v>
      </c>
      <c r="C1" s="8" t="s">
        <v>10</v>
      </c>
      <c r="D1" s="8" t="s">
        <v>25</v>
      </c>
      <c r="E1" s="8" t="s">
        <v>28</v>
      </c>
      <c r="F1" s="8" t="s">
        <v>29</v>
      </c>
      <c r="G1" s="8" t="s">
        <v>31</v>
      </c>
      <c r="H1" s="8" t="s">
        <v>32</v>
      </c>
      <c r="I1" s="8" t="s">
        <v>35</v>
      </c>
      <c r="J1" s="8" t="s">
        <v>38</v>
      </c>
      <c r="K1" s="8" t="s">
        <v>41</v>
      </c>
      <c r="L1" s="8" t="s">
        <v>43</v>
      </c>
    </row>
    <row r="2">
      <c r="A2" s="18" t="s">
        <v>46</v>
      </c>
      <c r="B2" s="18" t="s">
        <v>51</v>
      </c>
      <c r="C2" s="18" t="s">
        <v>54</v>
      </c>
      <c r="D2" s="19">
        <v>42000.0</v>
      </c>
      <c r="E2" s="20">
        <v>0.75</v>
      </c>
      <c r="F2" s="20">
        <v>0.83</v>
      </c>
      <c r="G2" s="20">
        <v>0.9</v>
      </c>
      <c r="H2" s="20">
        <v>0.95</v>
      </c>
      <c r="I2" s="20">
        <v>0.95</v>
      </c>
      <c r="J2" s="20">
        <v>0.95</v>
      </c>
      <c r="K2" s="20">
        <v>0.25</v>
      </c>
      <c r="L2" s="26">
        <v>325.5</v>
      </c>
    </row>
    <row r="3">
      <c r="A3" s="18" t="s">
        <v>88</v>
      </c>
      <c r="B3" s="18" t="s">
        <v>90</v>
      </c>
      <c r="C3" s="18" t="s">
        <v>54</v>
      </c>
      <c r="D3" s="19">
        <v>15000.0</v>
      </c>
      <c r="E3" s="20">
        <v>0.45</v>
      </c>
      <c r="F3" s="20">
        <v>0.64</v>
      </c>
      <c r="G3" s="20">
        <v>0.78</v>
      </c>
      <c r="H3" s="20">
        <v>0.89</v>
      </c>
      <c r="I3" s="20">
        <v>0.94</v>
      </c>
      <c r="J3" s="20">
        <v>0.95</v>
      </c>
      <c r="K3" s="20">
        <v>0.55</v>
      </c>
      <c r="L3" s="26">
        <v>255.75</v>
      </c>
    </row>
    <row r="4">
      <c r="A4" s="18" t="s">
        <v>106</v>
      </c>
      <c r="B4" s="18" t="s">
        <v>109</v>
      </c>
      <c r="C4" s="18" t="s">
        <v>107</v>
      </c>
      <c r="D4" s="19">
        <v>20000.0</v>
      </c>
      <c r="E4" s="20">
        <v>0.6</v>
      </c>
      <c r="F4" s="20">
        <v>0.74</v>
      </c>
      <c r="G4" s="20">
        <v>0.84</v>
      </c>
      <c r="H4" s="20">
        <v>0.92</v>
      </c>
      <c r="I4" s="20">
        <v>0.95</v>
      </c>
      <c r="J4" s="20">
        <v>0.95</v>
      </c>
      <c r="K4" s="20">
        <v>0.4</v>
      </c>
      <c r="L4" s="26">
        <v>248.0</v>
      </c>
    </row>
    <row r="5">
      <c r="A5" s="18" t="s">
        <v>33</v>
      </c>
      <c r="B5" s="18" t="s">
        <v>39</v>
      </c>
      <c r="C5" s="18" t="s">
        <v>65</v>
      </c>
      <c r="D5" s="19">
        <v>19000.0</v>
      </c>
      <c r="E5" s="20">
        <v>0.55</v>
      </c>
      <c r="F5" s="20">
        <v>0.7</v>
      </c>
      <c r="G5" s="20">
        <v>0.82</v>
      </c>
      <c r="H5" s="20">
        <v>0.91</v>
      </c>
      <c r="I5" s="20">
        <v>0.95</v>
      </c>
      <c r="J5" s="20">
        <v>0.95</v>
      </c>
      <c r="K5" s="20">
        <v>0.45</v>
      </c>
      <c r="L5" s="26">
        <v>264.93</v>
      </c>
    </row>
    <row r="6">
      <c r="A6" s="18" t="s">
        <v>85</v>
      </c>
      <c r="B6" s="18" t="s">
        <v>86</v>
      </c>
      <c r="C6" s="18" t="s">
        <v>65</v>
      </c>
      <c r="D6" s="19">
        <v>11000.0</v>
      </c>
      <c r="E6" s="20">
        <v>0.58</v>
      </c>
      <c r="F6" s="20">
        <v>0.72</v>
      </c>
      <c r="G6" s="20">
        <v>0.83</v>
      </c>
      <c r="H6" s="20">
        <v>0.91</v>
      </c>
      <c r="I6" s="20">
        <v>0.95</v>
      </c>
      <c r="J6" s="20">
        <v>0.95</v>
      </c>
      <c r="K6" s="20">
        <v>0.42</v>
      </c>
      <c r="L6" s="26">
        <v>143.22</v>
      </c>
    </row>
    <row r="7">
      <c r="A7" s="18" t="s">
        <v>114</v>
      </c>
      <c r="B7" s="18" t="s">
        <v>115</v>
      </c>
      <c r="C7" s="18" t="s">
        <v>65</v>
      </c>
      <c r="D7" s="19">
        <v>19000.0</v>
      </c>
      <c r="E7" s="20">
        <v>0.58</v>
      </c>
      <c r="F7" s="20">
        <v>0.72</v>
      </c>
      <c r="G7" s="20">
        <v>0.83</v>
      </c>
      <c r="H7" s="20">
        <v>0.91</v>
      </c>
      <c r="I7" s="20">
        <v>0.95</v>
      </c>
      <c r="J7" s="20">
        <v>0.95</v>
      </c>
      <c r="K7" s="20">
        <v>0.42</v>
      </c>
      <c r="L7" s="26">
        <v>247.5</v>
      </c>
    </row>
    <row r="8">
      <c r="A8" s="18" t="s">
        <v>124</v>
      </c>
      <c r="B8" s="18" t="s">
        <v>125</v>
      </c>
      <c r="C8" s="18" t="s">
        <v>98</v>
      </c>
      <c r="D8" s="19">
        <v>41000.0</v>
      </c>
      <c r="E8" s="20">
        <v>0.45</v>
      </c>
      <c r="F8" s="20">
        <v>0.64</v>
      </c>
      <c r="G8" s="20">
        <v>0.78</v>
      </c>
      <c r="H8" s="20">
        <v>0.89</v>
      </c>
      <c r="I8" s="20">
        <v>0.94</v>
      </c>
      <c r="J8" s="20">
        <v>0.95</v>
      </c>
      <c r="K8" s="20">
        <v>0.55</v>
      </c>
      <c r="L8" s="26">
        <v>699.05</v>
      </c>
    </row>
    <row r="9">
      <c r="A9" s="18" t="s">
        <v>128</v>
      </c>
      <c r="B9" s="18" t="s">
        <v>129</v>
      </c>
      <c r="C9" s="18" t="s">
        <v>98</v>
      </c>
      <c r="D9" s="19">
        <v>41000.0</v>
      </c>
      <c r="E9" s="20">
        <v>0.45</v>
      </c>
      <c r="F9" s="20">
        <v>0.64</v>
      </c>
      <c r="G9" s="20">
        <v>0.78</v>
      </c>
      <c r="H9" s="20">
        <v>0.89</v>
      </c>
      <c r="I9" s="20">
        <v>0.94</v>
      </c>
      <c r="J9" s="20">
        <v>0.95</v>
      </c>
      <c r="K9" s="20">
        <v>0.55</v>
      </c>
      <c r="L9" s="26">
        <v>699.05</v>
      </c>
    </row>
    <row r="10">
      <c r="A10" s="18" t="s">
        <v>133</v>
      </c>
      <c r="B10" s="18" t="s">
        <v>134</v>
      </c>
      <c r="C10" s="18" t="s">
        <v>98</v>
      </c>
      <c r="D10" s="19">
        <v>41000.0</v>
      </c>
      <c r="E10" s="20">
        <v>0.45</v>
      </c>
      <c r="F10" s="20">
        <v>0.64</v>
      </c>
      <c r="G10" s="20">
        <v>0.78</v>
      </c>
      <c r="H10" s="20">
        <v>0.89</v>
      </c>
      <c r="I10" s="20">
        <v>0.94</v>
      </c>
      <c r="J10" s="20">
        <v>0.95</v>
      </c>
      <c r="K10" s="20">
        <v>0.55</v>
      </c>
      <c r="L10" s="26">
        <v>699.05</v>
      </c>
    </row>
    <row r="11">
      <c r="A11" s="18" t="s">
        <v>138</v>
      </c>
      <c r="B11" s="18" t="s">
        <v>139</v>
      </c>
      <c r="C11" s="18" t="s">
        <v>98</v>
      </c>
      <c r="D11" s="19">
        <v>41000.0</v>
      </c>
      <c r="E11" s="20">
        <v>0.45</v>
      </c>
      <c r="F11" s="20">
        <v>0.64</v>
      </c>
      <c r="G11" s="20">
        <v>0.78</v>
      </c>
      <c r="H11" s="20">
        <v>0.89</v>
      </c>
      <c r="I11" s="20">
        <v>0.94</v>
      </c>
      <c r="J11" s="20">
        <v>0.95</v>
      </c>
      <c r="K11" s="20">
        <v>0.55</v>
      </c>
      <c r="L11" s="26">
        <v>699.05</v>
      </c>
    </row>
    <row r="12">
      <c r="A12" s="18" t="s">
        <v>141</v>
      </c>
      <c r="B12" s="18" t="s">
        <v>142</v>
      </c>
      <c r="C12" s="18" t="s">
        <v>98</v>
      </c>
      <c r="D12" s="19">
        <v>33000.0</v>
      </c>
      <c r="E12" s="20">
        <v>0.45</v>
      </c>
      <c r="F12" s="20">
        <v>0.64</v>
      </c>
      <c r="G12" s="20">
        <v>0.78</v>
      </c>
      <c r="H12" s="20">
        <v>0.89</v>
      </c>
      <c r="I12" s="20">
        <v>0.94</v>
      </c>
      <c r="J12" s="20">
        <v>0.95</v>
      </c>
      <c r="K12" s="20">
        <v>0.55</v>
      </c>
      <c r="L12" s="26">
        <v>562.65</v>
      </c>
    </row>
    <row r="13">
      <c r="A13" s="18" t="s">
        <v>146</v>
      </c>
      <c r="B13" s="18" t="s">
        <v>148</v>
      </c>
      <c r="C13" s="18" t="s">
        <v>98</v>
      </c>
      <c r="D13" s="19">
        <v>29000.0</v>
      </c>
      <c r="E13" s="20">
        <v>0.45</v>
      </c>
      <c r="F13" s="20">
        <v>0.64</v>
      </c>
      <c r="G13" s="20">
        <v>0.78</v>
      </c>
      <c r="H13" s="20">
        <v>0.89</v>
      </c>
      <c r="I13" s="20">
        <v>0.94</v>
      </c>
      <c r="J13" s="20">
        <v>0.95</v>
      </c>
      <c r="K13" s="20">
        <v>0.55</v>
      </c>
      <c r="L13" s="26">
        <v>494.45</v>
      </c>
    </row>
    <row r="14">
      <c r="A14" s="18" t="s">
        <v>150</v>
      </c>
      <c r="B14" s="18" t="s">
        <v>151</v>
      </c>
      <c r="C14" s="18" t="s">
        <v>98</v>
      </c>
      <c r="D14" s="19">
        <v>28000.0</v>
      </c>
      <c r="E14" s="20">
        <v>0.45</v>
      </c>
      <c r="F14" s="20">
        <v>0.64</v>
      </c>
      <c r="G14" s="20">
        <v>0.78</v>
      </c>
      <c r="H14" s="20">
        <v>0.89</v>
      </c>
      <c r="I14" s="20">
        <v>0.94</v>
      </c>
      <c r="J14" s="20">
        <v>0.95</v>
      </c>
      <c r="K14" s="20">
        <v>0.55</v>
      </c>
      <c r="L14" s="26">
        <v>477.4</v>
      </c>
    </row>
    <row r="15">
      <c r="A15" s="18" t="s">
        <v>153</v>
      </c>
      <c r="B15" s="18" t="s">
        <v>154</v>
      </c>
      <c r="C15" s="18" t="s">
        <v>98</v>
      </c>
      <c r="D15" s="19">
        <v>27000.0</v>
      </c>
      <c r="E15" s="20">
        <v>0.8</v>
      </c>
      <c r="F15" s="20">
        <v>0.87</v>
      </c>
      <c r="G15" s="20">
        <v>0.92</v>
      </c>
      <c r="H15" s="20">
        <v>0.95</v>
      </c>
      <c r="I15" s="20">
        <v>0.95</v>
      </c>
      <c r="J15" s="20">
        <v>0.95</v>
      </c>
      <c r="K15" s="20">
        <v>0.2</v>
      </c>
      <c r="L15" s="26">
        <v>167.4</v>
      </c>
    </row>
    <row r="16">
      <c r="A16" s="18" t="s">
        <v>157</v>
      </c>
      <c r="B16" s="18" t="s">
        <v>158</v>
      </c>
      <c r="C16" s="18" t="s">
        <v>98</v>
      </c>
      <c r="D16" s="19">
        <v>27000.0</v>
      </c>
      <c r="E16" s="20">
        <v>0.76</v>
      </c>
      <c r="F16" s="20">
        <v>0.84</v>
      </c>
      <c r="G16" s="20">
        <v>0.9</v>
      </c>
      <c r="H16" s="20">
        <v>0.95</v>
      </c>
      <c r="I16" s="20">
        <v>0.95</v>
      </c>
      <c r="J16" s="20">
        <v>0.95</v>
      </c>
      <c r="K16" s="20">
        <v>0.24</v>
      </c>
      <c r="L16" s="26">
        <v>200.88</v>
      </c>
    </row>
    <row r="17">
      <c r="A17" s="18" t="s">
        <v>159</v>
      </c>
      <c r="B17" s="18" t="s">
        <v>160</v>
      </c>
      <c r="C17" s="18" t="s">
        <v>98</v>
      </c>
      <c r="D17" s="19">
        <v>18000.0</v>
      </c>
      <c r="E17" s="20">
        <v>0.75</v>
      </c>
      <c r="F17" s="20">
        <v>0.83</v>
      </c>
      <c r="G17" s="20">
        <v>0.9</v>
      </c>
      <c r="H17" s="20">
        <v>0.95</v>
      </c>
      <c r="I17" s="20">
        <v>0.95</v>
      </c>
      <c r="J17" s="20">
        <v>0.95</v>
      </c>
      <c r="K17" s="20">
        <v>0.25</v>
      </c>
      <c r="L17" s="26">
        <v>139.5</v>
      </c>
    </row>
    <row r="18">
      <c r="A18" s="18" t="s">
        <v>163</v>
      </c>
      <c r="B18" s="18" t="s">
        <v>164</v>
      </c>
      <c r="C18" s="18" t="s">
        <v>98</v>
      </c>
      <c r="D18" s="19">
        <v>17000.0</v>
      </c>
      <c r="E18" s="20">
        <v>0.72</v>
      </c>
      <c r="F18" s="20">
        <v>0.81</v>
      </c>
      <c r="G18" s="20">
        <v>0.88</v>
      </c>
      <c r="H18" s="20">
        <v>0.94</v>
      </c>
      <c r="I18" s="20">
        <v>0.95</v>
      </c>
      <c r="J18" s="20">
        <v>0.95</v>
      </c>
      <c r="K18" s="20">
        <v>0.28</v>
      </c>
      <c r="L18" s="26">
        <v>147.56</v>
      </c>
    </row>
    <row r="19">
      <c r="A19" s="18" t="s">
        <v>174</v>
      </c>
      <c r="B19" s="18" t="s">
        <v>175</v>
      </c>
      <c r="C19" s="18" t="s">
        <v>107</v>
      </c>
      <c r="D19" s="19">
        <v>43000.0</v>
      </c>
      <c r="E19" s="20">
        <v>0.68</v>
      </c>
      <c r="F19" s="20">
        <v>0.79</v>
      </c>
      <c r="G19" s="20">
        <v>0.87</v>
      </c>
      <c r="H19" s="20">
        <v>0.93</v>
      </c>
      <c r="I19" s="20">
        <v>0.95</v>
      </c>
      <c r="J19" s="20">
        <v>0.95</v>
      </c>
      <c r="K19" s="20">
        <v>0.32</v>
      </c>
      <c r="L19" s="26">
        <v>426.56</v>
      </c>
    </row>
    <row r="20">
      <c r="A20" s="18" t="s">
        <v>179</v>
      </c>
      <c r="B20" s="18" t="s">
        <v>181</v>
      </c>
      <c r="C20" s="18" t="s">
        <v>107</v>
      </c>
      <c r="D20" s="19">
        <v>33000.0</v>
      </c>
      <c r="E20" s="20">
        <v>0.45</v>
      </c>
      <c r="F20" s="20">
        <v>0.64</v>
      </c>
      <c r="G20" s="20">
        <v>0.78</v>
      </c>
      <c r="H20" s="20">
        <v>0.89</v>
      </c>
      <c r="I20" s="20">
        <v>0.94</v>
      </c>
      <c r="J20" s="20">
        <v>0.95</v>
      </c>
      <c r="K20" s="20">
        <v>0.55</v>
      </c>
      <c r="L20" s="26">
        <v>562.65</v>
      </c>
    </row>
    <row r="21">
      <c r="A21" s="18" t="s">
        <v>187</v>
      </c>
      <c r="B21" s="18" t="s">
        <v>189</v>
      </c>
      <c r="C21" s="18" t="s">
        <v>107</v>
      </c>
      <c r="D21" s="19">
        <v>13000.0</v>
      </c>
      <c r="E21" s="20">
        <v>0.45</v>
      </c>
      <c r="F21" s="20">
        <v>0.64</v>
      </c>
      <c r="G21" s="20">
        <v>0.78</v>
      </c>
      <c r="H21" s="20">
        <v>0.89</v>
      </c>
      <c r="I21" s="20">
        <v>0.94</v>
      </c>
      <c r="J21" s="20">
        <v>0.95</v>
      </c>
      <c r="K21" s="20">
        <v>0.55</v>
      </c>
      <c r="L21" s="26">
        <v>221.65</v>
      </c>
    </row>
    <row r="22">
      <c r="A22" s="18" t="s">
        <v>195</v>
      </c>
      <c r="B22" s="18" t="s">
        <v>197</v>
      </c>
      <c r="C22" s="18" t="s">
        <v>113</v>
      </c>
      <c r="D22" s="19">
        <v>70000.0</v>
      </c>
      <c r="E22" s="20">
        <v>0.75</v>
      </c>
      <c r="F22" s="20">
        <v>0.83</v>
      </c>
      <c r="G22" s="20">
        <v>0.9</v>
      </c>
      <c r="H22" s="20">
        <v>0.95</v>
      </c>
      <c r="I22" s="20">
        <v>0.95</v>
      </c>
      <c r="J22" s="20">
        <v>0.95</v>
      </c>
      <c r="K22" s="20">
        <v>0.25</v>
      </c>
      <c r="L22" s="26">
        <v>542.5</v>
      </c>
    </row>
    <row r="23">
      <c r="A23" s="18" t="s">
        <v>200</v>
      </c>
      <c r="B23" s="18" t="s">
        <v>201</v>
      </c>
      <c r="C23" s="18" t="s">
        <v>113</v>
      </c>
      <c r="D23" s="19">
        <v>54000.0</v>
      </c>
      <c r="E23" s="20">
        <v>0.45</v>
      </c>
      <c r="F23" s="20">
        <v>0.64</v>
      </c>
      <c r="G23" s="20">
        <v>0.78</v>
      </c>
      <c r="H23" s="20">
        <v>0.89</v>
      </c>
      <c r="I23" s="20">
        <v>0.94</v>
      </c>
      <c r="J23" s="20">
        <v>0.95</v>
      </c>
      <c r="K23" s="20">
        <v>0.55</v>
      </c>
      <c r="L23" s="26">
        <v>920.7</v>
      </c>
    </row>
    <row r="24">
      <c r="A24" s="18" t="s">
        <v>202</v>
      </c>
      <c r="B24" s="18" t="s">
        <v>203</v>
      </c>
      <c r="C24" s="18" t="s">
        <v>113</v>
      </c>
      <c r="D24" s="19">
        <v>54000.0</v>
      </c>
      <c r="E24" s="20">
        <v>0.45</v>
      </c>
      <c r="F24" s="20">
        <v>0.64</v>
      </c>
      <c r="G24" s="20">
        <v>0.78</v>
      </c>
      <c r="H24" s="20">
        <v>0.89</v>
      </c>
      <c r="I24" s="20">
        <v>0.94</v>
      </c>
      <c r="J24" s="20">
        <v>0.95</v>
      </c>
      <c r="K24" s="20">
        <v>0.55</v>
      </c>
      <c r="L24" s="26">
        <v>920.7</v>
      </c>
    </row>
    <row r="25">
      <c r="A25" s="18" t="s">
        <v>204</v>
      </c>
      <c r="B25" s="18" t="s">
        <v>206</v>
      </c>
      <c r="C25" s="18" t="s">
        <v>113</v>
      </c>
      <c r="D25" s="19">
        <v>50000.0</v>
      </c>
      <c r="E25" s="20">
        <v>0.78</v>
      </c>
      <c r="F25" s="20">
        <v>0.85</v>
      </c>
      <c r="G25" s="20">
        <v>0.91</v>
      </c>
      <c r="H25" s="20">
        <v>0.95</v>
      </c>
      <c r="I25" s="20">
        <v>0.95</v>
      </c>
      <c r="J25" s="20">
        <v>0.95</v>
      </c>
      <c r="K25" s="20">
        <v>0.22</v>
      </c>
      <c r="L25" s="26">
        <v>341.0</v>
      </c>
    </row>
    <row r="26">
      <c r="A26" s="18" t="s">
        <v>211</v>
      </c>
      <c r="B26" s="18" t="s">
        <v>213</v>
      </c>
      <c r="C26" s="18" t="s">
        <v>113</v>
      </c>
      <c r="D26" s="19">
        <v>47000.0</v>
      </c>
      <c r="E26" s="20">
        <v>0.72</v>
      </c>
      <c r="F26" s="20">
        <v>0.81</v>
      </c>
      <c r="G26" s="20">
        <v>0.88</v>
      </c>
      <c r="H26" s="20">
        <v>0.94</v>
      </c>
      <c r="I26" s="20">
        <v>0.95</v>
      </c>
      <c r="J26" s="20">
        <v>0.95</v>
      </c>
      <c r="K26" s="20">
        <v>0.28</v>
      </c>
      <c r="L26" s="26">
        <v>408.36</v>
      </c>
    </row>
    <row r="27">
      <c r="A27" s="18" t="s">
        <v>214</v>
      </c>
      <c r="B27" s="18" t="s">
        <v>215</v>
      </c>
      <c r="C27" s="18" t="s">
        <v>54</v>
      </c>
      <c r="D27" s="19">
        <v>41000.0</v>
      </c>
      <c r="E27" s="20">
        <v>0.8</v>
      </c>
      <c r="F27" s="20">
        <v>0.87</v>
      </c>
      <c r="G27" s="20">
        <v>0.92</v>
      </c>
      <c r="H27" s="20">
        <v>0.95</v>
      </c>
      <c r="I27" s="20">
        <v>0.95</v>
      </c>
      <c r="J27" s="20">
        <v>0.95</v>
      </c>
      <c r="K27" s="20">
        <v>0.2</v>
      </c>
      <c r="L27" s="26">
        <v>254.2</v>
      </c>
    </row>
    <row r="28">
      <c r="A28" s="18" t="s">
        <v>218</v>
      </c>
      <c r="B28" s="18" t="s">
        <v>219</v>
      </c>
      <c r="C28" s="18" t="s">
        <v>54</v>
      </c>
      <c r="D28" s="19">
        <v>24000.0</v>
      </c>
      <c r="E28" s="20">
        <v>0.78</v>
      </c>
      <c r="F28" s="20">
        <v>0.85</v>
      </c>
      <c r="G28" s="20">
        <v>0.91</v>
      </c>
      <c r="H28" s="20">
        <v>0.95</v>
      </c>
      <c r="I28" s="20">
        <v>0.95</v>
      </c>
      <c r="J28" s="20">
        <v>0.95</v>
      </c>
      <c r="K28" s="20">
        <v>0.22</v>
      </c>
      <c r="L28" s="26">
        <v>163.68</v>
      </c>
    </row>
    <row r="29">
      <c r="A29" s="18" t="s">
        <v>222</v>
      </c>
      <c r="B29" s="18" t="s">
        <v>223</v>
      </c>
      <c r="C29" s="18" t="s">
        <v>54</v>
      </c>
      <c r="D29" s="19">
        <v>10000.0</v>
      </c>
      <c r="E29" s="20">
        <v>0.82</v>
      </c>
      <c r="F29" s="20">
        <v>0.88</v>
      </c>
      <c r="G29" s="20">
        <v>0.92</v>
      </c>
      <c r="H29" s="20">
        <v>0.95</v>
      </c>
      <c r="I29" s="20">
        <v>0.95</v>
      </c>
      <c r="J29" s="20">
        <v>0.95</v>
      </c>
      <c r="K29" s="20">
        <v>0.18</v>
      </c>
      <c r="L29" s="26">
        <v>55.8</v>
      </c>
    </row>
    <row r="30">
      <c r="A30" s="18" t="s">
        <v>224</v>
      </c>
      <c r="B30" s="18" t="s">
        <v>225</v>
      </c>
      <c r="C30" s="18" t="s">
        <v>116</v>
      </c>
      <c r="D30" s="19">
        <v>39000.0</v>
      </c>
      <c r="E30" s="20">
        <v>0.7</v>
      </c>
      <c r="F30" s="20">
        <v>0.8</v>
      </c>
      <c r="G30" s="20">
        <v>0.88</v>
      </c>
      <c r="H30" s="20">
        <v>0.94</v>
      </c>
      <c r="I30" s="20">
        <v>0.95</v>
      </c>
      <c r="J30" s="20">
        <v>0.95</v>
      </c>
      <c r="K30" s="20">
        <v>0.3</v>
      </c>
      <c r="L30" s="26">
        <v>362.7</v>
      </c>
    </row>
    <row r="31">
      <c r="A31" s="18" t="s">
        <v>228</v>
      </c>
      <c r="B31" s="18" t="s">
        <v>229</v>
      </c>
      <c r="C31" s="18" t="s">
        <v>116</v>
      </c>
      <c r="D31" s="19">
        <v>9000.0</v>
      </c>
      <c r="E31" s="20">
        <v>0.75</v>
      </c>
      <c r="F31" s="20">
        <v>0.83</v>
      </c>
      <c r="G31" s="20">
        <v>0.9</v>
      </c>
      <c r="H31" s="20">
        <v>0.95</v>
      </c>
      <c r="I31" s="20">
        <v>0.95</v>
      </c>
      <c r="J31" s="20">
        <v>0.95</v>
      </c>
      <c r="K31" s="20">
        <v>0.25</v>
      </c>
      <c r="L31" s="26">
        <v>69.75</v>
      </c>
    </row>
    <row r="32">
      <c r="A32" s="18" t="s">
        <v>232</v>
      </c>
      <c r="B32" s="18" t="s">
        <v>233</v>
      </c>
      <c r="C32" s="18" t="s">
        <v>122</v>
      </c>
      <c r="D32" s="19">
        <v>37000.0</v>
      </c>
      <c r="E32" s="20">
        <v>0.75</v>
      </c>
      <c r="F32" s="20">
        <v>0.83</v>
      </c>
      <c r="G32" s="20">
        <v>0.9</v>
      </c>
      <c r="H32" s="20">
        <v>0.95</v>
      </c>
      <c r="I32" s="20">
        <v>0.95</v>
      </c>
      <c r="J32" s="20">
        <v>0.95</v>
      </c>
      <c r="K32" s="20">
        <v>0.25</v>
      </c>
      <c r="L32" s="26">
        <v>286.75</v>
      </c>
    </row>
    <row r="33">
      <c r="A33" s="18" t="s">
        <v>234</v>
      </c>
      <c r="B33" s="18" t="s">
        <v>235</v>
      </c>
      <c r="C33" s="18" t="s">
        <v>122</v>
      </c>
      <c r="D33" s="19">
        <v>37000.0</v>
      </c>
      <c r="E33" s="20">
        <v>0.72</v>
      </c>
      <c r="F33" s="20">
        <v>0.81</v>
      </c>
      <c r="G33" s="20">
        <v>0.88</v>
      </c>
      <c r="H33" s="20">
        <v>0.94</v>
      </c>
      <c r="I33" s="20">
        <v>0.95</v>
      </c>
      <c r="J33" s="20">
        <v>0.95</v>
      </c>
      <c r="K33" s="20">
        <v>0.28</v>
      </c>
      <c r="L33" s="26">
        <v>321.44</v>
      </c>
    </row>
  </sheetData>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5.75"/>
    <col customWidth="1" min="2" max="2" width="48.0"/>
    <col customWidth="1" min="3" max="3" width="21.88"/>
    <col customWidth="1" min="4" max="4" width="16.38"/>
    <col customWidth="1" min="5" max="5" width="16.0"/>
  </cols>
  <sheetData>
    <row r="1">
      <c r="A1" s="8" t="s">
        <v>166</v>
      </c>
      <c r="B1" s="8" t="s">
        <v>168</v>
      </c>
      <c r="C1" s="8" t="s">
        <v>169</v>
      </c>
      <c r="D1" s="8" t="s">
        <v>171</v>
      </c>
      <c r="E1" s="8" t="s">
        <v>172</v>
      </c>
    </row>
    <row r="2">
      <c r="A2" s="37" t="s">
        <v>173</v>
      </c>
      <c r="B2" s="18" t="s">
        <v>176</v>
      </c>
      <c r="C2" s="38">
        <v>15000.0</v>
      </c>
      <c r="D2" s="20">
        <v>3.4</v>
      </c>
      <c r="E2" s="18" t="s">
        <v>177</v>
      </c>
    </row>
    <row r="3">
      <c r="A3" s="37" t="s">
        <v>178</v>
      </c>
      <c r="B3" s="18" t="s">
        <v>180</v>
      </c>
      <c r="C3" s="38">
        <v>12000.0</v>
      </c>
      <c r="D3" s="20">
        <v>2.8</v>
      </c>
      <c r="E3" s="18" t="s">
        <v>182</v>
      </c>
    </row>
    <row r="4">
      <c r="A4" s="37" t="s">
        <v>183</v>
      </c>
      <c r="B4" s="18" t="s">
        <v>184</v>
      </c>
      <c r="C4" s="38">
        <v>2500.0</v>
      </c>
      <c r="D4" s="20">
        <v>1.9</v>
      </c>
      <c r="E4" s="18" t="s">
        <v>185</v>
      </c>
    </row>
    <row r="5">
      <c r="A5" s="37" t="s">
        <v>186</v>
      </c>
      <c r="B5" s="18" t="s">
        <v>188</v>
      </c>
      <c r="C5" s="38">
        <v>1500.0</v>
      </c>
      <c r="D5" s="20">
        <v>2.1</v>
      </c>
      <c r="E5" s="18" t="s">
        <v>191</v>
      </c>
    </row>
    <row r="6">
      <c r="A6" s="37" t="s">
        <v>192</v>
      </c>
      <c r="B6" s="18" t="s">
        <v>194</v>
      </c>
      <c r="C6" s="38">
        <v>1000.0</v>
      </c>
      <c r="D6" s="20">
        <v>1.75</v>
      </c>
      <c r="E6" s="18" t="s">
        <v>198</v>
      </c>
    </row>
  </sheetData>
  <drawing r:id="rId1"/>
  <tableParts count="1">
    <tablePart r:id="rId3"/>
  </tableParts>
</worksheet>
</file>